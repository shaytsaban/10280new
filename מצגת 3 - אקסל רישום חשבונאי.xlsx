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imafantalis/האחסון שלי/או&quot;פ - מכינה - חומרים/מצגות 91440/שיעור 2- רישום חשבונאי/"/>
    </mc:Choice>
  </mc:AlternateContent>
  <xr:revisionPtr revIDLastSave="0" documentId="13_ncr:1_{40C41FB0-29EF-2C4B-B1BF-5921B1158C9F}" xr6:coauthVersionLast="47" xr6:coauthVersionMax="47" xr10:uidLastSave="{00000000-0000-0000-0000-000000000000}"/>
  <bookViews>
    <workbookView xWindow="580" yWindow="3460" windowWidth="30640" windowHeight="17360" xr2:uid="{00000000-000D-0000-FFFF-FFFF00000000}"/>
  </bookViews>
  <sheets>
    <sheet name="מקו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1" i="1"/>
  <c r="B10" i="1"/>
  <c r="H15" i="1" s="1"/>
  <c r="B9" i="1"/>
  <c r="B8" i="1"/>
  <c r="B7" i="1"/>
  <c r="F8" i="1" s="1"/>
  <c r="B6" i="1"/>
  <c r="B5" i="1"/>
  <c r="F6" i="1" s="1"/>
  <c r="B4" i="1"/>
  <c r="B3" i="1"/>
  <c r="F4" i="1" s="1"/>
  <c r="H63" i="1"/>
  <c r="H62" i="1"/>
  <c r="H70" i="1"/>
  <c r="F7" i="1"/>
  <c r="F5" i="1"/>
  <c r="H58" i="1"/>
  <c r="G16" i="1"/>
  <c r="E7" i="1"/>
  <c r="E8" i="1"/>
  <c r="G6" i="1"/>
  <c r="G15" i="1"/>
  <c r="E6" i="1"/>
  <c r="G5" i="1"/>
  <c r="G4" i="1"/>
  <c r="E5" i="1"/>
  <c r="E4" i="1"/>
  <c r="H6" i="1" l="1"/>
  <c r="H5" i="1"/>
  <c r="H59" i="1"/>
  <c r="H60" i="1" s="1"/>
  <c r="H68" i="1" s="1"/>
  <c r="H71" i="1" s="1"/>
  <c r="H74" i="1" s="1"/>
  <c r="H4" i="1"/>
  <c r="F20" i="1"/>
  <c r="H16" i="1" l="1"/>
  <c r="H20" i="1" s="1"/>
  <c r="J20" i="1" s="1"/>
  <c r="B21" i="1"/>
</calcChain>
</file>

<file path=xl/sharedStrings.xml><?xml version="1.0" encoding="utf-8"?>
<sst xmlns="http://schemas.openxmlformats.org/spreadsheetml/2006/main" count="46" uniqueCount="44">
  <si>
    <t>מערכת הנהלת החשבונות</t>
  </si>
  <si>
    <t>שם חשבון</t>
  </si>
  <si>
    <t>יתרה</t>
  </si>
  <si>
    <t>סה"כ</t>
  </si>
  <si>
    <t>נכסים:</t>
  </si>
  <si>
    <t>התחייבויות</t>
  </si>
  <si>
    <t>הון עצמי</t>
  </si>
  <si>
    <t>פקודות יומן:</t>
  </si>
  <si>
    <t>מזומן</t>
  </si>
  <si>
    <t>הון מניות</t>
  </si>
  <si>
    <t>הלוואה</t>
  </si>
  <si>
    <t>מלאי</t>
  </si>
  <si>
    <t>עודפים</t>
  </si>
  <si>
    <t>החברה גייסה הלוואה מהבנק ע"ס 4,000,000 ₪</t>
  </si>
  <si>
    <t>החברה רכשה רכב למנכ"ל תמורת 400,000 ₪ במזומן</t>
  </si>
  <si>
    <t>החברה רכשה מבנה תמורת 3,000,000 ושילמה עד כה רק 2,800,000 ₪</t>
  </si>
  <si>
    <t>הדוח על המצב הכספי ליום ...</t>
  </si>
  <si>
    <t>החברה שילמה את החוב לספק המלאי שלעיל</t>
  </si>
  <si>
    <t>החברה מכרה את הרכב של המנכ"ל תמורת 500,000 ₪ במזומן</t>
  </si>
  <si>
    <t>החברה שילמה לעובדיה את השכר בגין התקופה שחלפה ע"ס 200,000 ₪</t>
  </si>
  <si>
    <t>החברה מכרה 75% מהמלאי תמורת 1,300,000 ₪ במזומן</t>
  </si>
  <si>
    <t>ההלוואה של החברה צברה 2% ריבית שטרם שולמה</t>
  </si>
  <si>
    <t>עלות המכר</t>
  </si>
  <si>
    <t>לקוחות</t>
  </si>
  <si>
    <t>זכאים אחרים</t>
  </si>
  <si>
    <t>מכירות</t>
  </si>
  <si>
    <t>רכב</t>
  </si>
  <si>
    <t>מבנה</t>
  </si>
  <si>
    <t>פעולות מאזניות:</t>
  </si>
  <si>
    <t>פעולות תוצאתיות:</t>
  </si>
  <si>
    <t>הוצ׳ שכר</t>
  </si>
  <si>
    <t>הוצ׳ מס</t>
  </si>
  <si>
    <t>רווח נקי</t>
  </si>
  <si>
    <t>רווח לפני מס</t>
  </si>
  <si>
    <t>הכנס׳ אחרות</t>
  </si>
  <si>
    <t>רווח תפעולי</t>
  </si>
  <si>
    <t>רווח גולמי</t>
  </si>
  <si>
    <t>דוח רווח או הפסד:</t>
  </si>
  <si>
    <t>הוצ׳ ריבית</t>
  </si>
  <si>
    <t xml:space="preserve">ספקים </t>
  </si>
  <si>
    <t>הפרש</t>
  </si>
  <si>
    <t>הבעלים הפקיד בחשבון של החברה 1,000,000 ₪, כנגד הנפקת מניות.</t>
  </si>
  <si>
    <t xml:space="preserve"> </t>
  </si>
  <si>
    <t>החברה רכשה מלאי מהספק בעלות של 1,200,000 ושילמה עד למועד הדיווח רק 700,000 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</si>
</sst>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avid"/>
      <family val="2"/>
    </font>
    <font>
      <sz val="12"/>
      <color theme="1"/>
      <name val="David"/>
      <family val="2"/>
    </font>
    <font>
      <b/>
      <sz val="11"/>
      <color theme="1"/>
      <name val="David"/>
      <family val="2"/>
    </font>
    <font>
      <b/>
      <u/>
      <sz val="11"/>
      <color theme="1"/>
      <name val="David"/>
      <family val="2"/>
    </font>
    <font>
      <sz val="11"/>
      <color rgb="FF00B050"/>
      <name val="David"/>
      <family val="2"/>
    </font>
    <font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rgb="FF00B050"/>
      <name val="David"/>
      <family val="2"/>
    </font>
    <font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David"/>
      <family val="2"/>
    </font>
    <font>
      <b/>
      <sz val="12"/>
      <color theme="0"/>
      <name val="David"/>
      <family val="2"/>
    </font>
    <font>
      <sz val="11"/>
      <color theme="0"/>
      <name val="David"/>
      <family val="2"/>
    </font>
    <font>
      <b/>
      <u/>
      <sz val="11"/>
      <color theme="0"/>
      <name val="David"/>
      <family val="2"/>
    </font>
    <font>
      <b/>
      <u/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1" xfId="0" applyFont="1" applyBorder="1"/>
    <xf numFmtId="165" fontId="3" fillId="0" borderId="0" xfId="1" applyNumberFormat="1" applyFont="1" applyFill="1" applyBorder="1"/>
    <xf numFmtId="0" fontId="2" fillId="0" borderId="2" xfId="0" applyFont="1" applyBorder="1" applyAlignment="1">
      <alignment horizontal="right" indent="3"/>
    </xf>
    <xf numFmtId="165" fontId="3" fillId="0" borderId="3" xfId="1" applyNumberFormat="1" applyFont="1" applyFill="1" applyBorder="1"/>
    <xf numFmtId="0" fontId="2" fillId="0" borderId="0" xfId="0" applyFont="1"/>
    <xf numFmtId="0" fontId="2" fillId="0" borderId="0" xfId="0" applyFont="1" applyAlignment="1">
      <alignment horizontal="right" indent="3"/>
    </xf>
    <xf numFmtId="0" fontId="2" fillId="0" borderId="5" xfId="0" applyFont="1" applyBorder="1"/>
    <xf numFmtId="165" fontId="3" fillId="0" borderId="6" xfId="1" applyNumberFormat="1" applyFont="1" applyFill="1" applyBorder="1"/>
    <xf numFmtId="0" fontId="2" fillId="0" borderId="7" xfId="0" applyFont="1" applyBorder="1"/>
    <xf numFmtId="0" fontId="2" fillId="0" borderId="9" xfId="0" applyFont="1" applyBorder="1"/>
    <xf numFmtId="165" fontId="3" fillId="0" borderId="10" xfId="1" applyNumberFormat="1" applyFont="1" applyFill="1" applyBorder="1"/>
    <xf numFmtId="0" fontId="4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4" fillId="0" borderId="13" xfId="0" applyFont="1" applyBorder="1"/>
    <xf numFmtId="0" fontId="2" fillId="0" borderId="18" xfId="0" applyFont="1" applyBorder="1"/>
    <xf numFmtId="165" fontId="3" fillId="0" borderId="20" xfId="1" applyNumberFormat="1" applyFont="1" applyFill="1" applyBorder="1"/>
    <xf numFmtId="165" fontId="3" fillId="0" borderId="19" xfId="1" applyNumberFormat="1" applyFont="1" applyFill="1" applyBorder="1"/>
    <xf numFmtId="165" fontId="3" fillId="0" borderId="26" xfId="1" applyNumberFormat="1" applyFont="1" applyFill="1" applyBorder="1"/>
    <xf numFmtId="0" fontId="5" fillId="0" borderId="0" xfId="0" applyFont="1"/>
    <xf numFmtId="0" fontId="0" fillId="0" borderId="20" xfId="0" applyBorder="1"/>
    <xf numFmtId="0" fontId="0" fillId="0" borderId="27" xfId="0" applyBorder="1"/>
    <xf numFmtId="0" fontId="2" fillId="0" borderId="1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1" xfId="0" applyFont="1" applyBorder="1" applyAlignment="1">
      <alignment horizontal="right" indent="3"/>
    </xf>
    <xf numFmtId="0" fontId="6" fillId="0" borderId="0" xfId="0" applyFont="1"/>
    <xf numFmtId="0" fontId="4" fillId="0" borderId="31" xfId="0" applyFont="1" applyBorder="1"/>
    <xf numFmtId="0" fontId="7" fillId="0" borderId="0" xfId="0" applyFont="1"/>
    <xf numFmtId="0" fontId="2" fillId="0" borderId="33" xfId="0" applyFont="1" applyBorder="1"/>
    <xf numFmtId="0" fontId="2" fillId="0" borderId="2" xfId="0" applyFont="1" applyBorder="1"/>
    <xf numFmtId="165" fontId="3" fillId="0" borderId="34" xfId="1" applyNumberFormat="1" applyFont="1" applyFill="1" applyBorder="1"/>
    <xf numFmtId="165" fontId="3" fillId="0" borderId="11" xfId="1" applyNumberFormat="1" applyFont="1" applyFill="1" applyBorder="1"/>
    <xf numFmtId="165" fontId="3" fillId="0" borderId="0" xfId="0" applyNumberFormat="1" applyFont="1" applyAlignment="1">
      <alignment horizontal="right"/>
    </xf>
    <xf numFmtId="0" fontId="7" fillId="0" borderId="20" xfId="0" applyFont="1" applyBorder="1"/>
    <xf numFmtId="0" fontId="8" fillId="0" borderId="0" xfId="0" applyFont="1"/>
    <xf numFmtId="0" fontId="0" fillId="0" borderId="0" xfId="0" applyAlignment="1">
      <alignment horizontal="right" indent="3"/>
    </xf>
    <xf numFmtId="165" fontId="3" fillId="0" borderId="35" xfId="1" applyNumberFormat="1" applyFont="1" applyFill="1" applyBorder="1"/>
    <xf numFmtId="0" fontId="0" fillId="0" borderId="36" xfId="0" applyBorder="1"/>
    <xf numFmtId="0" fontId="0" fillId="0" borderId="0" xfId="0" applyAlignment="1">
      <alignment horizontal="right" indent="4"/>
    </xf>
    <xf numFmtId="0" fontId="0" fillId="0" borderId="0" xfId="0" applyAlignment="1">
      <alignment horizontal="right"/>
    </xf>
    <xf numFmtId="165" fontId="7" fillId="0" borderId="0" xfId="0" applyNumberFormat="1" applyFont="1"/>
    <xf numFmtId="165" fontId="9" fillId="0" borderId="6" xfId="1" applyNumberFormat="1" applyFont="1" applyFill="1" applyBorder="1"/>
    <xf numFmtId="0" fontId="6" fillId="0" borderId="4" xfId="0" applyFont="1" applyBorder="1"/>
    <xf numFmtId="165" fontId="9" fillId="0" borderId="8" xfId="1" applyNumberFormat="1" applyFont="1" applyFill="1" applyBorder="1"/>
    <xf numFmtId="0" fontId="10" fillId="0" borderId="0" xfId="0" applyFont="1"/>
    <xf numFmtId="0" fontId="11" fillId="0" borderId="0" xfId="0" applyFont="1"/>
    <xf numFmtId="165" fontId="12" fillId="0" borderId="0" xfId="1" applyNumberFormat="1" applyFont="1" applyFill="1" applyBorder="1"/>
    <xf numFmtId="165" fontId="13" fillId="0" borderId="35" xfId="1" applyNumberFormat="1" applyFont="1" applyFill="1" applyBorder="1"/>
    <xf numFmtId="0" fontId="2" fillId="0" borderId="13" xfId="0" applyFont="1" applyBorder="1" applyAlignment="1">
      <alignment horizontal="right"/>
    </xf>
    <xf numFmtId="0" fontId="11" fillId="0" borderId="36" xfId="0" applyFont="1" applyBorder="1"/>
    <xf numFmtId="0" fontId="11" fillId="0" borderId="20" xfId="0" applyFont="1" applyBorder="1"/>
    <xf numFmtId="165" fontId="12" fillId="0" borderId="20" xfId="1" applyNumberFormat="1" applyFont="1" applyFill="1" applyBorder="1"/>
    <xf numFmtId="165" fontId="13" fillId="0" borderId="20" xfId="1" applyNumberFormat="1" applyFont="1" applyFill="1" applyBorder="1"/>
    <xf numFmtId="0" fontId="11" fillId="0" borderId="27" xfId="0" applyFont="1" applyBorder="1"/>
    <xf numFmtId="0" fontId="14" fillId="0" borderId="13" xfId="0" applyFont="1" applyBorder="1"/>
    <xf numFmtId="165" fontId="12" fillId="0" borderId="6" xfId="1" applyNumberFormat="1" applyFont="1" applyFill="1" applyBorder="1"/>
    <xf numFmtId="0" fontId="14" fillId="0" borderId="14" xfId="0" applyFont="1" applyBorder="1"/>
    <xf numFmtId="165" fontId="12" fillId="0" borderId="8" xfId="1" applyNumberFormat="1" applyFont="1" applyFill="1" applyBorder="1"/>
    <xf numFmtId="0" fontId="14" fillId="0" borderId="0" xfId="0" applyFont="1"/>
    <xf numFmtId="0" fontId="15" fillId="0" borderId="0" xfId="0" applyFont="1"/>
    <xf numFmtId="0" fontId="16" fillId="0" borderId="33" xfId="0" applyFont="1" applyBorder="1"/>
    <xf numFmtId="0" fontId="11" fillId="0" borderId="35" xfId="0" applyFont="1" applyBorder="1"/>
    <xf numFmtId="0" fontId="11" fillId="0" borderId="1" xfId="0" applyFont="1" applyBorder="1"/>
    <xf numFmtId="0" fontId="17" fillId="0" borderId="33" xfId="0" applyFont="1" applyBorder="1"/>
    <xf numFmtId="0" fontId="11" fillId="0" borderId="2" xfId="0" applyFont="1" applyBorder="1"/>
    <xf numFmtId="0" fontId="11" fillId="0" borderId="3" xfId="0" applyFont="1" applyBorder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right"/>
    </xf>
    <xf numFmtId="0" fontId="2" fillId="0" borderId="28" xfId="0" applyFont="1" applyBorder="1" applyAlignment="1">
      <alignment horizontal="right"/>
    </xf>
    <xf numFmtId="0" fontId="2" fillId="0" borderId="29" xfId="0" applyFont="1" applyBorder="1" applyAlignment="1">
      <alignment horizontal="right"/>
    </xf>
    <xf numFmtId="0" fontId="2" fillId="0" borderId="24" xfId="0" applyFont="1" applyBorder="1" applyAlignment="1">
      <alignment horizontal="right" wrapText="1"/>
    </xf>
    <xf numFmtId="0" fontId="2" fillId="0" borderId="28" xfId="0" applyFont="1" applyBorder="1" applyAlignment="1">
      <alignment horizontal="right" wrapText="1"/>
    </xf>
    <xf numFmtId="0" fontId="2" fillId="0" borderId="29" xfId="0" applyFont="1" applyBorder="1" applyAlignment="1">
      <alignment horizontal="right" wrapText="1"/>
    </xf>
    <xf numFmtId="0" fontId="4" fillId="0" borderId="30" xfId="0" applyFont="1" applyBorder="1" applyAlignment="1">
      <alignment horizontal="center"/>
    </xf>
    <xf numFmtId="0" fontId="2" fillId="0" borderId="0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customXml" Target="../ink/ink7.xml"/><Relationship Id="rId18" Type="http://schemas.openxmlformats.org/officeDocument/2006/relationships/image" Target="../media/image19.png"/><Relationship Id="rId26" Type="http://schemas.openxmlformats.org/officeDocument/2006/relationships/image" Target="../media/image2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1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11.png"/><Relationship Id="rId16" Type="http://schemas.openxmlformats.org/officeDocument/2006/relationships/image" Target="../media/image18.png"/><Relationship Id="rId20" Type="http://schemas.openxmlformats.org/officeDocument/2006/relationships/image" Target="../media/image2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13.png"/><Relationship Id="rId11" Type="http://schemas.openxmlformats.org/officeDocument/2006/relationships/customXml" Target="../ink/ink6.xml"/><Relationship Id="rId24" Type="http://schemas.openxmlformats.org/officeDocument/2006/relationships/image" Target="../media/image22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24.png"/><Relationship Id="rId10" Type="http://schemas.openxmlformats.org/officeDocument/2006/relationships/image" Target="../media/image15.png"/><Relationship Id="rId19" Type="http://schemas.openxmlformats.org/officeDocument/2006/relationships/customXml" Target="../ink/ink10.xml"/><Relationship Id="rId4" Type="http://schemas.openxmlformats.org/officeDocument/2006/relationships/image" Target="../media/image12.png"/><Relationship Id="rId9" Type="http://schemas.openxmlformats.org/officeDocument/2006/relationships/customXml" Target="../ink/ink5.xml"/><Relationship Id="rId14" Type="http://schemas.openxmlformats.org/officeDocument/2006/relationships/image" Target="../media/image17.png"/><Relationship Id="rId22" Type="http://schemas.openxmlformats.org/officeDocument/2006/relationships/image" Target="../media/image21.png"/><Relationship Id="rId27" Type="http://schemas.openxmlformats.org/officeDocument/2006/relationships/customXml" Target="../ink/ink14.xml"/><Relationship Id="rId30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76</xdr:col>
      <xdr:colOff>513128</xdr:colOff>
      <xdr:row>25</xdr:row>
      <xdr:rowOff>186145</xdr:rowOff>
    </xdr:from>
    <xdr:to>
      <xdr:col>82</xdr:col>
      <xdr:colOff>242761</xdr:colOff>
      <xdr:row>36</xdr:row>
      <xdr:rowOff>30690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79" name="דיו 478">
              <a:extLst>
                <a:ext uri="{FF2B5EF4-FFF2-40B4-BE49-F238E27FC236}">
                  <a16:creationId xmlns:a16="http://schemas.microsoft.com/office/drawing/2014/main" id="{C12499D9-247E-6595-8C7D-CC7CCD6CCD2C}"/>
                </a:ext>
              </a:extLst>
            </xdr14:cNvPr>
            <xdr14:cNvContentPartPr/>
          </xdr14:nvContentPartPr>
          <xdr14:nvPr macro=""/>
          <xdr14:xfrm>
            <a:off x="10944940806" y="5314680"/>
            <a:ext cx="3758040" cy="2044800"/>
          </xdr14:xfrm>
        </xdr:contentPart>
      </mc:Choice>
      <mc:Fallback xmlns="">
        <xdr:pic>
          <xdr:nvPicPr>
            <xdr:cNvPr id="479" name="דיו 478">
              <a:extLst>
                <a:ext uri="{FF2B5EF4-FFF2-40B4-BE49-F238E27FC236}">
                  <a16:creationId xmlns:a16="http://schemas.microsoft.com/office/drawing/2014/main" id="{C12499D9-247E-6595-8C7D-CC7CCD6CCD2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944909846" y="5283720"/>
              <a:ext cx="3819240" cy="21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76</xdr:col>
      <xdr:colOff>135128</xdr:colOff>
      <xdr:row>35</xdr:row>
      <xdr:rowOff>37079</xdr:rowOff>
    </xdr:from>
    <xdr:to>
      <xdr:col>76</xdr:col>
      <xdr:colOff>507008</xdr:colOff>
      <xdr:row>38</xdr:row>
      <xdr:rowOff>157232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83" name="דיו 482">
              <a:extLst>
                <a:ext uri="{FF2B5EF4-FFF2-40B4-BE49-F238E27FC236}">
                  <a16:creationId xmlns:a16="http://schemas.microsoft.com/office/drawing/2014/main" id="{792F6E30-E188-1EF5-DD1C-6818DFD2332B}"/>
                </a:ext>
              </a:extLst>
            </xdr14:cNvPr>
            <xdr14:cNvContentPartPr/>
          </xdr14:nvContentPartPr>
          <xdr14:nvPr macro=""/>
          <xdr14:xfrm>
            <a:off x="10948704966" y="7163640"/>
            <a:ext cx="371880" cy="726840"/>
          </xdr14:xfrm>
        </xdr:contentPart>
      </mc:Choice>
      <mc:Fallback xmlns="">
        <xdr:pic>
          <xdr:nvPicPr>
            <xdr:cNvPr id="483" name="דיו 482">
              <a:extLst>
                <a:ext uri="{FF2B5EF4-FFF2-40B4-BE49-F238E27FC236}">
                  <a16:creationId xmlns:a16="http://schemas.microsoft.com/office/drawing/2014/main" id="{792F6E30-E188-1EF5-DD1C-6818DFD2332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948674366" y="7132680"/>
              <a:ext cx="433080" cy="78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82</xdr:col>
      <xdr:colOff>300001</xdr:colOff>
      <xdr:row>24</xdr:row>
      <xdr:rowOff>103254</xdr:rowOff>
    </xdr:from>
    <xdr:to>
      <xdr:col>83</xdr:col>
      <xdr:colOff>518518</xdr:colOff>
      <xdr:row>27</xdr:row>
      <xdr:rowOff>169576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93" name="דיו 492">
              <a:extLst>
                <a:ext uri="{FF2B5EF4-FFF2-40B4-BE49-F238E27FC236}">
                  <a16:creationId xmlns:a16="http://schemas.microsoft.com/office/drawing/2014/main" id="{4DBA7DCE-FCD7-0835-C5AE-23F8025182A5}"/>
                </a:ext>
              </a:extLst>
            </xdr14:cNvPr>
            <xdr14:cNvContentPartPr/>
          </xdr14:nvContentPartPr>
          <xdr14:nvPr macro=""/>
          <xdr14:xfrm>
            <a:off x="10943993646" y="5029560"/>
            <a:ext cx="889920" cy="664920"/>
          </xdr14:xfrm>
        </xdr:contentPart>
      </mc:Choice>
      <mc:Fallback xmlns="">
        <xdr:pic>
          <xdr:nvPicPr>
            <xdr:cNvPr id="493" name="דיו 492">
              <a:extLst>
                <a:ext uri="{FF2B5EF4-FFF2-40B4-BE49-F238E27FC236}">
                  <a16:creationId xmlns:a16="http://schemas.microsoft.com/office/drawing/2014/main" id="{4DBA7DCE-FCD7-0835-C5AE-23F8025182A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943963046" y="4998960"/>
              <a:ext cx="951120" cy="72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78</xdr:col>
      <xdr:colOff>155286</xdr:colOff>
      <xdr:row>26</xdr:row>
      <xdr:rowOff>93885</xdr:rowOff>
    </xdr:from>
    <xdr:to>
      <xdr:col>82</xdr:col>
      <xdr:colOff>66001</xdr:colOff>
      <xdr:row>36</xdr:row>
      <xdr:rowOff>16650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94" name="דיו 493">
              <a:extLst>
                <a:ext uri="{FF2B5EF4-FFF2-40B4-BE49-F238E27FC236}">
                  <a16:creationId xmlns:a16="http://schemas.microsoft.com/office/drawing/2014/main" id="{FF6B1DE8-9AFB-802B-D338-0C623258FE4E}"/>
                </a:ext>
              </a:extLst>
            </xdr14:cNvPr>
            <xdr14:cNvContentPartPr/>
          </xdr14:nvContentPartPr>
          <xdr14:nvPr macro=""/>
          <xdr14:xfrm>
            <a:off x="10945117566" y="5416560"/>
            <a:ext cx="2596320" cy="1928880"/>
          </xdr14:xfrm>
        </xdr:contentPart>
      </mc:Choice>
      <mc:Fallback xmlns="">
        <xdr:pic>
          <xdr:nvPicPr>
            <xdr:cNvPr id="494" name="דיו 493">
              <a:extLst>
                <a:ext uri="{FF2B5EF4-FFF2-40B4-BE49-F238E27FC236}">
                  <a16:creationId xmlns:a16="http://schemas.microsoft.com/office/drawing/2014/main" id="{FF6B1DE8-9AFB-802B-D338-0C623258FE4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945086966" y="5385960"/>
              <a:ext cx="2657520" cy="19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79</xdr:col>
      <xdr:colOff>505925</xdr:colOff>
      <xdr:row>35</xdr:row>
      <xdr:rowOff>147959</xdr:rowOff>
    </xdr:from>
    <xdr:to>
      <xdr:col>82</xdr:col>
      <xdr:colOff>52322</xdr:colOff>
      <xdr:row>37</xdr:row>
      <xdr:rowOff>161101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10" name="דיו 509">
              <a:extLst>
                <a:ext uri="{FF2B5EF4-FFF2-40B4-BE49-F238E27FC236}">
                  <a16:creationId xmlns:a16="http://schemas.microsoft.com/office/drawing/2014/main" id="{DAFC8640-C200-BFEE-7A26-C78EAB415576}"/>
                </a:ext>
              </a:extLst>
            </xdr14:cNvPr>
            <xdr14:cNvContentPartPr/>
          </xdr14:nvContentPartPr>
          <xdr14:nvPr macro=""/>
          <xdr14:xfrm>
            <a:off x="10945131246" y="7274520"/>
            <a:ext cx="1560600" cy="417600"/>
          </xdr14:xfrm>
        </xdr:contentPart>
      </mc:Choice>
      <mc:Fallback xmlns="">
        <xdr:pic>
          <xdr:nvPicPr>
            <xdr:cNvPr id="510" name="דיו 509">
              <a:extLst>
                <a:ext uri="{FF2B5EF4-FFF2-40B4-BE49-F238E27FC236}">
                  <a16:creationId xmlns:a16="http://schemas.microsoft.com/office/drawing/2014/main" id="{DAFC8640-C200-BFEE-7A26-C78EAB415576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45116126" y="7259387"/>
              <a:ext cx="1591200" cy="4482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159603</xdr:colOff>
      <xdr:row>27</xdr:row>
      <xdr:rowOff>151216</xdr:rowOff>
    </xdr:from>
    <xdr:to>
      <xdr:col>80</xdr:col>
      <xdr:colOff>235203</xdr:colOff>
      <xdr:row>32</xdr:row>
      <xdr:rowOff>135998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533" name="דיו 532">
              <a:extLst>
                <a:ext uri="{FF2B5EF4-FFF2-40B4-BE49-F238E27FC236}">
                  <a16:creationId xmlns:a16="http://schemas.microsoft.com/office/drawing/2014/main" id="{454F7DCA-48B6-3410-D67A-C805BA525021}"/>
                </a:ext>
              </a:extLst>
            </xdr14:cNvPr>
            <xdr14:cNvContentPartPr/>
          </xdr14:nvContentPartPr>
          <xdr14:nvPr macro=""/>
          <xdr14:xfrm>
            <a:off x="10946291166" y="5676120"/>
            <a:ext cx="75600" cy="987840"/>
          </xdr14:xfrm>
        </xdr:contentPart>
      </mc:Choice>
      <mc:Fallback xmlns="">
        <xdr:pic>
          <xdr:nvPicPr>
            <xdr:cNvPr id="533" name="דיו 532">
              <a:extLst>
                <a:ext uri="{FF2B5EF4-FFF2-40B4-BE49-F238E27FC236}">
                  <a16:creationId xmlns:a16="http://schemas.microsoft.com/office/drawing/2014/main" id="{454F7DCA-48B6-3410-D67A-C805BA52502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946275759" y="5660994"/>
              <a:ext cx="105697" cy="10184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205323</xdr:colOff>
      <xdr:row>33</xdr:row>
      <xdr:rowOff>92889</xdr:rowOff>
    </xdr:from>
    <xdr:to>
      <xdr:col>80</xdr:col>
      <xdr:colOff>240603</xdr:colOff>
      <xdr:row>35</xdr:row>
      <xdr:rowOff>114119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534" name="דיו 533">
              <a:extLst>
                <a:ext uri="{FF2B5EF4-FFF2-40B4-BE49-F238E27FC236}">
                  <a16:creationId xmlns:a16="http://schemas.microsoft.com/office/drawing/2014/main" id="{C28E98BE-733D-083E-F5E6-962261B8BC67}"/>
                </a:ext>
              </a:extLst>
            </xdr14:cNvPr>
            <xdr14:cNvContentPartPr/>
          </xdr14:nvContentPartPr>
          <xdr14:nvPr macro=""/>
          <xdr14:xfrm>
            <a:off x="10946285766" y="6823080"/>
            <a:ext cx="35280" cy="417600"/>
          </xdr14:xfrm>
        </xdr:contentPart>
      </mc:Choice>
      <mc:Fallback xmlns="">
        <xdr:pic>
          <xdr:nvPicPr>
            <xdr:cNvPr id="534" name="דיו 533">
              <a:extLst>
                <a:ext uri="{FF2B5EF4-FFF2-40B4-BE49-F238E27FC236}">
                  <a16:creationId xmlns:a16="http://schemas.microsoft.com/office/drawing/2014/main" id="{C28E98BE-733D-083E-F5E6-962261B8BC67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946270646" y="6807960"/>
              <a:ext cx="65520" cy="44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79</xdr:col>
      <xdr:colOff>489005</xdr:colOff>
      <xdr:row>27</xdr:row>
      <xdr:rowOff>39976</xdr:rowOff>
    </xdr:from>
    <xdr:to>
      <xdr:col>79</xdr:col>
      <xdr:colOff>533285</xdr:colOff>
      <xdr:row>35</xdr:row>
      <xdr:rowOff>110519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52" name="דיו 551">
              <a:extLst>
                <a:ext uri="{FF2B5EF4-FFF2-40B4-BE49-F238E27FC236}">
                  <a16:creationId xmlns:a16="http://schemas.microsoft.com/office/drawing/2014/main" id="{F321055F-BBBB-2C2F-8887-DDED389E6D8D}"/>
                </a:ext>
              </a:extLst>
            </xdr14:cNvPr>
            <xdr14:cNvContentPartPr/>
          </xdr14:nvContentPartPr>
          <xdr14:nvPr macro=""/>
          <xdr14:xfrm>
            <a:off x="10946664486" y="5564880"/>
            <a:ext cx="44280" cy="1672200"/>
          </xdr14:xfrm>
        </xdr:contentPart>
      </mc:Choice>
      <mc:Fallback xmlns="">
        <xdr:pic>
          <xdr:nvPicPr>
            <xdr:cNvPr id="552" name="דיו 551">
              <a:extLst>
                <a:ext uri="{FF2B5EF4-FFF2-40B4-BE49-F238E27FC236}">
                  <a16:creationId xmlns:a16="http://schemas.microsoft.com/office/drawing/2014/main" id="{F321055F-BBBB-2C2F-8887-DDED389E6D8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946649006" y="5549400"/>
              <a:ext cx="74520" cy="170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79</xdr:col>
      <xdr:colOff>448685</xdr:colOff>
      <xdr:row>27</xdr:row>
      <xdr:rowOff>92536</xdr:rowOff>
    </xdr:from>
    <xdr:to>
      <xdr:col>79</xdr:col>
      <xdr:colOff>528605</xdr:colOff>
      <xdr:row>28</xdr:row>
      <xdr:rowOff>53746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553" name="דיו 552">
              <a:extLst>
                <a:ext uri="{FF2B5EF4-FFF2-40B4-BE49-F238E27FC236}">
                  <a16:creationId xmlns:a16="http://schemas.microsoft.com/office/drawing/2014/main" id="{461B0DAA-8FC7-BC84-195E-D47EC5FB7370}"/>
                </a:ext>
              </a:extLst>
            </xdr14:cNvPr>
            <xdr14:cNvContentPartPr/>
          </xdr14:nvContentPartPr>
          <xdr14:nvPr macro=""/>
          <xdr14:xfrm>
            <a:off x="10946669166" y="5617440"/>
            <a:ext cx="79920" cy="163440"/>
          </xdr14:xfrm>
        </xdr:contentPart>
      </mc:Choice>
      <mc:Fallback xmlns="">
        <xdr:pic>
          <xdr:nvPicPr>
            <xdr:cNvPr id="553" name="דיו 552">
              <a:extLst>
                <a:ext uri="{FF2B5EF4-FFF2-40B4-BE49-F238E27FC236}">
                  <a16:creationId xmlns:a16="http://schemas.microsoft.com/office/drawing/2014/main" id="{461B0DAA-8FC7-BC84-195E-D47EC5FB7370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946638566" y="5586480"/>
              <a:ext cx="14112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81</xdr:col>
      <xdr:colOff>467402</xdr:colOff>
      <xdr:row>32</xdr:row>
      <xdr:rowOff>74438</xdr:rowOff>
    </xdr:from>
    <xdr:to>
      <xdr:col>81</xdr:col>
      <xdr:colOff>507362</xdr:colOff>
      <xdr:row>35</xdr:row>
      <xdr:rowOff>129239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562" name="דיו 561">
              <a:extLst>
                <a:ext uri="{FF2B5EF4-FFF2-40B4-BE49-F238E27FC236}">
                  <a16:creationId xmlns:a16="http://schemas.microsoft.com/office/drawing/2014/main" id="{5EF1C6EE-42FA-035D-F05A-286B3315C78F}"/>
                </a:ext>
              </a:extLst>
            </xdr14:cNvPr>
            <xdr14:cNvContentPartPr/>
          </xdr14:nvContentPartPr>
          <xdr14:nvPr macro=""/>
          <xdr14:xfrm>
            <a:off x="10945347606" y="6602400"/>
            <a:ext cx="39960" cy="653400"/>
          </xdr14:xfrm>
        </xdr:contentPart>
      </mc:Choice>
      <mc:Fallback xmlns="">
        <xdr:pic>
          <xdr:nvPicPr>
            <xdr:cNvPr id="562" name="דיו 561">
              <a:extLst>
                <a:ext uri="{FF2B5EF4-FFF2-40B4-BE49-F238E27FC236}">
                  <a16:creationId xmlns:a16="http://schemas.microsoft.com/office/drawing/2014/main" id="{5EF1C6EE-42FA-035D-F05A-286B3315C78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0945332486" y="6587280"/>
              <a:ext cx="70560" cy="68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81</xdr:col>
      <xdr:colOff>437162</xdr:colOff>
      <xdr:row>32</xdr:row>
      <xdr:rowOff>138518</xdr:rowOff>
    </xdr:from>
    <xdr:to>
      <xdr:col>81</xdr:col>
      <xdr:colOff>535442</xdr:colOff>
      <xdr:row>35</xdr:row>
      <xdr:rowOff>140039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563" name="דיו 562">
              <a:extLst>
                <a:ext uri="{FF2B5EF4-FFF2-40B4-BE49-F238E27FC236}">
                  <a16:creationId xmlns:a16="http://schemas.microsoft.com/office/drawing/2014/main" id="{C204A6EF-A0A4-BF89-42D7-950AC6297165}"/>
                </a:ext>
              </a:extLst>
            </xdr14:cNvPr>
            <xdr14:cNvContentPartPr/>
          </xdr14:nvContentPartPr>
          <xdr14:nvPr macro=""/>
          <xdr14:xfrm>
            <a:off x="10945319526" y="6666480"/>
            <a:ext cx="98280" cy="600120"/>
          </xdr14:xfrm>
        </xdr:contentPart>
      </mc:Choice>
      <mc:Fallback xmlns="">
        <xdr:pic>
          <xdr:nvPicPr>
            <xdr:cNvPr id="563" name="דיו 562">
              <a:extLst>
                <a:ext uri="{FF2B5EF4-FFF2-40B4-BE49-F238E27FC236}">
                  <a16:creationId xmlns:a16="http://schemas.microsoft.com/office/drawing/2014/main" id="{C204A6EF-A0A4-BF89-42D7-950AC629716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945304406" y="6651000"/>
              <a:ext cx="128880" cy="63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79</xdr:col>
      <xdr:colOff>469205</xdr:colOff>
      <xdr:row>24</xdr:row>
      <xdr:rowOff>180294</xdr:rowOff>
    </xdr:from>
    <xdr:to>
      <xdr:col>81</xdr:col>
      <xdr:colOff>506642</xdr:colOff>
      <xdr:row>32</xdr:row>
      <xdr:rowOff>4238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569" name="דיו 568">
              <a:extLst>
                <a:ext uri="{FF2B5EF4-FFF2-40B4-BE49-F238E27FC236}">
                  <a16:creationId xmlns:a16="http://schemas.microsoft.com/office/drawing/2014/main" id="{4BFED4BB-6DB8-CAA9-4496-FC31981F7F32}"/>
                </a:ext>
              </a:extLst>
            </xdr14:cNvPr>
            <xdr14:cNvContentPartPr/>
          </xdr14:nvContentPartPr>
          <xdr14:nvPr macro=""/>
          <xdr14:xfrm>
            <a:off x="10945348326" y="5106600"/>
            <a:ext cx="1380240" cy="1425600"/>
          </xdr14:xfrm>
        </xdr:contentPart>
      </mc:Choice>
      <mc:Fallback xmlns="">
        <xdr:pic>
          <xdr:nvPicPr>
            <xdr:cNvPr id="569" name="דיו 568">
              <a:extLst>
                <a:ext uri="{FF2B5EF4-FFF2-40B4-BE49-F238E27FC236}">
                  <a16:creationId xmlns:a16="http://schemas.microsoft.com/office/drawing/2014/main" id="{4BFED4BB-6DB8-CAA9-4496-FC31981F7F32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0945333206" y="5091480"/>
              <a:ext cx="1410840" cy="145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80</xdr:col>
      <xdr:colOff>244203</xdr:colOff>
      <xdr:row>36</xdr:row>
      <xdr:rowOff>32130</xdr:rowOff>
    </xdr:from>
    <xdr:to>
      <xdr:col>80</xdr:col>
      <xdr:colOff>445083</xdr:colOff>
      <xdr:row>36</xdr:row>
      <xdr:rowOff>62010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570" name="דיו 569">
              <a:extLst>
                <a:ext uri="{FF2B5EF4-FFF2-40B4-BE49-F238E27FC236}">
                  <a16:creationId xmlns:a16="http://schemas.microsoft.com/office/drawing/2014/main" id="{F650814E-1672-E265-B974-C5AF4CECDECE}"/>
                </a:ext>
              </a:extLst>
            </xdr14:cNvPr>
            <xdr14:cNvContentPartPr/>
          </xdr14:nvContentPartPr>
          <xdr14:nvPr macro=""/>
          <xdr14:xfrm>
            <a:off x="10946081286" y="7360920"/>
            <a:ext cx="200880" cy="29880"/>
          </xdr14:xfrm>
        </xdr:contentPart>
      </mc:Choice>
      <mc:Fallback xmlns="">
        <xdr:pic>
          <xdr:nvPicPr>
            <xdr:cNvPr id="570" name="דיו 569">
              <a:extLst>
                <a:ext uri="{FF2B5EF4-FFF2-40B4-BE49-F238E27FC236}">
                  <a16:creationId xmlns:a16="http://schemas.microsoft.com/office/drawing/2014/main" id="{F650814E-1672-E265-B974-C5AF4CECDECE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0946027286" y="7253280"/>
              <a:ext cx="30852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81</xdr:col>
      <xdr:colOff>586922</xdr:colOff>
      <xdr:row>33</xdr:row>
      <xdr:rowOff>2169</xdr:rowOff>
    </xdr:from>
    <xdr:to>
      <xdr:col>82</xdr:col>
      <xdr:colOff>71042</xdr:colOff>
      <xdr:row>34</xdr:row>
      <xdr:rowOff>175949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571" name="דיו 570">
              <a:extLst>
                <a:ext uri="{FF2B5EF4-FFF2-40B4-BE49-F238E27FC236}">
                  <a16:creationId xmlns:a16="http://schemas.microsoft.com/office/drawing/2014/main" id="{A5DF4254-0C8E-19BB-51F7-1E6C1EBDAABC}"/>
                </a:ext>
              </a:extLst>
            </xdr14:cNvPr>
            <xdr14:cNvContentPartPr/>
          </xdr14:nvContentPartPr>
          <xdr14:nvPr macro=""/>
          <xdr14:xfrm>
            <a:off x="10945112526" y="6732360"/>
            <a:ext cx="155520" cy="367920"/>
          </xdr14:xfrm>
        </xdr:contentPart>
      </mc:Choice>
      <mc:Fallback xmlns="">
        <xdr:pic>
          <xdr:nvPicPr>
            <xdr:cNvPr id="571" name="דיו 570">
              <a:extLst>
                <a:ext uri="{FF2B5EF4-FFF2-40B4-BE49-F238E27FC236}">
                  <a16:creationId xmlns:a16="http://schemas.microsoft.com/office/drawing/2014/main" id="{A5DF4254-0C8E-19BB-51F7-1E6C1EBDAABC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0945097406" y="6717240"/>
              <a:ext cx="186120" cy="39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79</xdr:col>
      <xdr:colOff>609965</xdr:colOff>
      <xdr:row>27</xdr:row>
      <xdr:rowOff>18376</xdr:rowOff>
    </xdr:from>
    <xdr:to>
      <xdr:col>80</xdr:col>
      <xdr:colOff>157084</xdr:colOff>
      <xdr:row>27</xdr:row>
      <xdr:rowOff>125296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572" name="דיו 571">
              <a:extLst>
                <a:ext uri="{FF2B5EF4-FFF2-40B4-BE49-F238E27FC236}">
                  <a16:creationId xmlns:a16="http://schemas.microsoft.com/office/drawing/2014/main" id="{A15E7EF9-72E8-6DD4-C769-F7B742A19800}"/>
                </a:ext>
              </a:extLst>
            </xdr14:cNvPr>
            <xdr14:cNvContentPartPr/>
          </xdr14:nvContentPartPr>
          <xdr14:nvPr macro=""/>
          <xdr14:xfrm>
            <a:off x="10946369286" y="5543280"/>
            <a:ext cx="218520" cy="106920"/>
          </xdr14:xfrm>
        </xdr:contentPart>
      </mc:Choice>
      <mc:Fallback xmlns="">
        <xdr:pic>
          <xdr:nvPicPr>
            <xdr:cNvPr id="572" name="דיו 571">
              <a:extLst>
                <a:ext uri="{FF2B5EF4-FFF2-40B4-BE49-F238E27FC236}">
                  <a16:creationId xmlns:a16="http://schemas.microsoft.com/office/drawing/2014/main" id="{A15E7EF9-72E8-6DD4-C769-F7B742A19800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0946354166" y="5527800"/>
              <a:ext cx="248760" cy="137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00.087"/>
    </inkml:context>
    <inkml:brush xml:id="br0">
      <inkml:brushProperty name="width" value="0.17143" units="cm"/>
      <inkml:brushProperty name="height" value="0.17143" units="cm"/>
    </inkml:brush>
  </inkml:definitions>
  <inkml:trace contextRef="#ctx0" brushRef="#br0">174 201 5902,'2'-49'11,"2"12"11,2 48 12,4 11 0,0 21-1,2 17-33,0 19 5,-4-29 1,-2 3-564,2 12 0,-1 3 580,1 13 1,2 3-7,-1 13 1,0 6-6,-4-29 0,-1 3 1,1 2-5,-1 4 1,-1 2-1,0 2-649,0 3 0,0 3 0,-3 0 645,1 4 1,2 1 0,-2 2-420,-1-23 1,0 1 0,1 0-1,-1 1 419,0 2 0,1 1 0,0 0 0,-1 1-3,0 0 0,0 2 0,0-1 0,0 0 2,1 2 1,-2-4 0,2 3 0,-1-2-3,0 1 0,0 0 0,-1-2 0,2 1-3,-1-3 0,0-1 0,0 1 1,0-3 2,1 25 0,0-1 0,1-4-12,-1-5 1,1 2 0,1-1-37,0-8 1,2 1-1,1 0 1,-1-5 5,0-3 1,1-3 0,-1 2 18,2 9 1,1 1 0,0-9-6,0-13 0,0-8 28,-2 0 0,1-6 0,0-1 0,-3-4 0</inkml:trace>
  <inkml:trace contextRef="#ctx0" brushRef="#br0" timeOffset="947">146 12 5745,'0'-6'90,"0"0"-23,0 6-45,-27 56-11,11-22 1,-25 47-12,23-34 11,1-5 11,4-4 1,5-9-23,3-9 22,4-12 90,1-5-45,6-23 34,2-1 0,5-23-34,1 1 0,3 1-11,2-1-11,5 9-23,1 7-22,6 8 12,5 9-12,5 5 0,4 3 0,-1 8-12,-5 3 1,-6 8-90,-6 6-246,-8 3 0,-6 3 347,-7-3 0,-3-9 0,-3-5 0</inkml:trace>
  <inkml:trace contextRef="#ctx0" brushRef="#br0" timeOffset="3162">420 5706 5801,'60'-24'45,"-6"6"-45,-26 15 0,3 0 11,1 2-11,6-1 0,2 2 0,5 0 0,7 0 0,7 4 0,5-1 0,10 2 0,6-3 0,6-1-465,11-1 465,-46 0 0,1 0 5,1-1 1,1 0 11,3 0 0,2-1-1,0 0 1,1 0 0,3 0 0,2 0 0,-1 0 0,5 2-1,2 0 1,2 0-429,1 0 1,1 0 422,6-2 0,-1 4 6,4 1 0,1 0-1,2 0 1,0 0 0,4 2 0,-3 2-1,6-3 1,-3 2-684,4 0 0,1 0 684,-1 1 0,6-1-9,-27-3 0,7 0 1,1 1-1,-4-2-1,4 2 1,-3-3 0,6 2-346,-5-1 1,5 2 0,2-3 0,-8 2 340,3-1 1,-6-1 0,0 1 7,3-1 0,1 0 1,-2 0-615,2-1 0,1 1 0,-2 0 610,5-1 1,0 0-1,0 1 4,0-1 1,1 0-1,5-1-162,3-3 0,6 0 0,-1-2 1,-3 1 150,8 1 0,-8-1 0,8-1 0,-9-2 0,6 0 0,0-1 0,-7 1 0,1 0 0,-4-1 0,1 1 0,-1-2 0,1 3 0,0-2 0,-1 0 0,-2 1 0,3 1 0,-2-2 0,-1 1 0,-2 1 0,-3 2 0,-2-2 0,5 0 0,-4 2 0,5-1 0,0 2 0,-6 0 0,6 0 0,-4-1 0,2 2 0,-7 1 0,5-1 0,-2 0 0,-6 0 0,-3 1 0,-5 0 0,-1 2 0,29-3 0,2 1 220,-13-1 0,6-2-217,-20 3 1,3 1 0,-3-1 2,6 0 0,-3 0-6,16 0 0,-1 1 814,-34 0 0,-6 1-837,41 0 1691,-16 0-1679,-16 0 1831,-14 0-1876,-10 0 188,-14 0-143,-7 0 684,-8 0-651,-2 0 101,-10 0-123,1 0 0,-7-1 0,3 1-11,1 0 0,0 0 11,3 0 0,1 0-56,2 0-23,1 0-212,1 0 291,-1 0 0,-1 0 0,-2 0 11,-1-4-11,-1 0 0,-1-6 0,-3 1 12,-2-1 10,-3-1 0,-1-1 12,0 5 11,-2-5-23,2 4 1,-1 2 10,0 0 1,2 1 11,0 0 11,2-3 11,0 1 0,3-1 0,2 0-22,2 0 0,3 1 0,1 4 22,2 1 56,1 1-101,1-2 1,0 1-12,1-2-11,5 3 0,3 0-11,4 1 11,2 0 0,0 5 0,1 1-11,0 5 11,5 3 0,3 0 0,4 2 0,6-3-12,1 4 12,0-3-11,0 1 0,-8 1-45,-6 2-11,-11 1 44,-5 5-21,-15 5-24,-12 3-256,-39 15 21,14-16 102,-17 2 201,32-22 0,16-6 0,6-4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11.015"/>
    </inkml:context>
    <inkml:brush xml:id="br0">
      <inkml:brushProperty name="width" value="0.17143" units="cm"/>
      <inkml:brushProperty name="height" value="0.17143" units="cm"/>
    </inkml:brush>
  </inkml:definitions>
  <inkml:trace contextRef="#ctx0" brushRef="#br0">779 113 5947,'20'-61'750,"-5"13"-414,-13 44-89,-5 5-169,-10 13 12,-9 11-56,-11 15 10,0 6-44,7 0-33,10-5 22,9-3-12,11-6 23,11-3 11,12-4-11,14-3 34,5-2-34,4-3 0,-3-2 0,-6-1 11,-5-2-11,-8-3 0,-9 0 0,-8 0-11,-6 0-706,-18 14 134,-9 0 169,-19 9 414,-6-10 0,18-11 0,5-3 0</inkml:trace>
  <inkml:trace contextRef="#ctx0" brushRef="#br0" timeOffset="369">454 439 6697,'10'82'347,"1"-8"-324,3-25-23,-4-5 11,0-7 0,-4-8-11,-3-7 22,-1-7-10,-2-5-1,-10-5 0,-4-4 0,-13-6-11,-5-9 0,-2-8 11,-1-3-11,5 4 0,8 4-11,9 10-78,5 3 55,6 15 34,1 8-11,1 15-112,0 6-404,-1 0 68,-2-3 291,-1-7 168,-6-8 0,4-11 0,0-6 0</inkml:trace>
  <inkml:trace contextRef="#ctx0" brushRef="#br0" timeOffset="566">12 775 5835,'-6'1'526,"1"58"-257,15-11-118,-4 3 0,3 4-258,15 32 191,-11-40 1,0 2-40,0-1 0,-2 2-40,1-1 1,0 1-6,-2-2 0,0 0-303,-2 0 0,0 1-72,-1-1 0,-2 1 179,-2 0 0,0 0 196,-2 1 0,0-4 0,-1 9 0,0-13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15.341"/>
    </inkml:context>
    <inkml:brush xml:id="br0">
      <inkml:brushProperty name="width" value="0.17143" units="cm"/>
      <inkml:brushProperty name="height" value="0.17143" units="cm"/>
    </inkml:brush>
  </inkml:definitions>
  <inkml:trace contextRef="#ctx0" brushRef="#br0">2433 79 6350,'11'27'-616,"-4"-4"616,-3-11 0,-4-6 0,0-2 0</inkml:trace>
  <inkml:trace contextRef="#ctx0" brushRef="#br0" timeOffset="278">1978 329 5935,'-7'-4'370,"2"2"-269,69-23-56,-27 20-23,50-20-22,-46 29 0,-10 11-67,-14 9-146,-9 14-56,-12 8 101,-14 5 168,-15-4 0,11-18 0,1-11 0</inkml:trace>
  <inkml:trace contextRef="#ctx0" brushRef="#br0" timeOffset="526">1612 393 5991,'0'-8'460,"0"2"-136,0 6-200,44 52-57,-24-19-67,33 44-123,-36-31-393,-7 0 12,-5-4 504,-4-8 0,-1-16 0,-1-8 0</inkml:trace>
  <inkml:trace contextRef="#ctx0" brushRef="#br0" timeOffset="878">1258 727 6854,'60'15'1020,"-12"-9"-864,-53-29-111,-10-2 11,-13-7-22,-14-8-34,-7-13 0,-11-15-132,28 26 0,1-3 87,0-3 0,2-2-274,2-1 0,4 1 286,-7-34-34,16 19-12,28 24 23,16 20-11,23 12-427,7 9-312,4 15 302,-8 11 359,-12 16 145,-15 7 0,-14-21 0,-10-5 0</inkml:trace>
  <inkml:trace contextRef="#ctx0" brushRef="#br0" timeOffset="1096">767 772 6775,'35'34'-269,"2"2"1,23 25-113,-48-35 258,-6 0 123,-12-6 0,4-8 0,-5-6 0</inkml:trace>
  <inkml:trace contextRef="#ctx0" brushRef="#br0" timeOffset="1257">421 1004 5958,'77'4'-191,"-14"1"191,-47-2 0,-8-2 0,-5 2 0</inkml:trace>
  <inkml:trace contextRef="#ctx0" brushRef="#br0" timeOffset="1397">479 1110 6193,'-37'79'1311,"0"-5"-1031,5-18-224,-6 7-56,-7 8-2789,-10 9 2324,23-35 0,-3-1 465,-6 1 0,2-2 0,-6 10 0,3-15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24.821"/>
    </inkml:context>
    <inkml:brush xml:id="br0">
      <inkml:brushProperty name="width" value="0.17143" units="cm"/>
      <inkml:brushProperty name="height" value="0.17143" units="cm"/>
    </inkml:brush>
  </inkml:definitions>
  <inkml:trace contextRef="#ctx0" brushRef="#br0">1 5380 5846,'7'-4'45,"-2"1"-34,-2-4 0,-3 2-11,2-3 11,0 2-11,0-2 0,1 4 11,-1-3-11,0 1 12,0-2-1,0-1 0,0-1 11,0-1-10,1-1 21,-2 0-10,5-4 10,-3 0 1,-1-2-12,1-3 1,-2 0-1,1-3 0,0 2 1,1 0-1,0 2-11,1 1 1,0 4-12,0-1 0,0 1 0,2-7 0,-1 3 11,4-9 0,-2 9 0,2-6 12,-4 4 10,2 0 12,-2-2-11,2-1 10,-3 1-21,1-1 10,-1 1-10,0-1-1,0 1 12,1-7-23,-1 6 0,0-5 0,-1 8-11,2 1 12,-1-2-1,5-11 11,-1 5 1,5-12-12,-2 10 11,0-2 1,-1 0-12,2 1 0,-1 1 34,6-12-23,-3 12-11,6-13 12,-5 12-1,1-3 12,-1-1 11,2-5 11,-1 0 56,9-22-79,-6 14 12,7-12-11,-7 23 0,-1 2-12,2 1 1,0 0 10,2-3 12,0 2-11,-1 1-12,-2-1 23,1 0 11,9-15-11,-6 12 11,7-11-12,-8 14-32,1 1 32,-1 2-44,-1-2 12,0 3 10,-1 2-22,-2 2 0,-2 0 34,3 0-1,3-16-33,-2 12 23,3-13-23,-6 14 11,8-13-11,-4 10 22,4-9-11,-8 11-11,1 0 12,2-1-12,1 1 0,-1 2 0,-2 1 22,-2 3-22,1 0 0,-1 0 22,4-8-22,-6 8 0,4-4 0,-5 6 0,2 2 0,0-6 0,3-1 0,1-4 12,4 1-12,0-4 0,12-14 0,-9 12 0,11-9 0,-12 18 0,-2 1-12,1 2 12,-2 2-11,-2-1 11,1 0-11,1-1 11,13-12 0,-6 5-11,12-9 0,-10 9 11,4-1 0,2-2 0,1 1 0,3-1 22,1-2-22,1 3 11,-1 2 12,1-2 55,16-12-56,-18 15 1,12-9-1,-21 17 12,-2 2-12,-2-1 23,15-7-34,-11 7 12,13-6-12,-14 9 11,-1 1 1,1-1-12,-3 5-11,-2-2 11,0 3-11,-3 0 11,-1 2-11,-2-3 0,1 2 11,0-3-11,1 2 0,1-2 0,-1 2 0,2 0 12,-2 1 10,13-11-11,7 0 0,1-1-11,-1 4 0,-14 5 0,-2 4 0,1-1 12,12-3-35,-8 2 23,13-2-11,-13 2 0,3-1 11,1-2-11,19-6-12,-11 4 23,11-4 0,-18 5 0,0 2 0,0-1-11,-1 0 22,1 1-11,0 1 0,4-2 11,21-9-11,-13 6 12,14-6-12,-20 5-3381,-1 3 3392,0 0-11,-3 0 0,-1 2 0,0 0 0,-1 1 11,-1 0-11,-1 1 3415,-1 0-3415,1 1 0,-1 0 0,1 2 0,1-2 0,-1 3 0,2-1 11,15-5-11,-9 4 11,13-8-11,-12 9 11,0-3-11,3 1 0,0 0 0,1 1-56,20-2 56,-21 4-11,18-2 0,-28 5 11,2 0-34,-1 0 34,3 0 0,0 0 0,22-9 11,-12 5-11,17-5 0,-19 4 0,2-1 12,-1 1-12,-3 2 11,-1-2 11,-1 2-22,1-2 23,-1 0-12,-2 1 22,11-4-21,-15 7 55,10-3-11,-18 5 11,2 1 1,-3 1-46,0 2 12,-1 0 22,11 1-56,-11 0 33,9 0-33,-11 0 12,0 0 55,2 0-56,0 0 90,1 0 268,12 0-178,-6 0-12,7-1 34,-11-1-124,-1-2-66,1 0-46,-3 1 79,-1-3-56,11 0 45,-10 0-45,9-1 135,-12 2-11,0 1-35,2 1-89,3 1 0,1 1 34,0 0-12,3 1-22,-2-1 34,2 1-1,2 0 113,0 0 179,13 0-124,-15 0-55,11 0 78,-23 0 191,5 0-314,-10 0-101,2 0 0,-11 0 0,-2 0 45,-1 0-45,-2 0 0,2 0-45,-2 2-56,1 0-4291,-2 11 2521,-2-2 1871,-8 7 0,4-10 0,-6-2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31.449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1 103 5734,'0'-7'67,"0"3"-22,0 4 257,0 0-145,0-24 33,0 17 1,0-17 33,0 21 89,0 2-279,0 9 0,0 2-23,0 10 23,0 3-12,0 3-22,0-2 12,0-1-1,0-3-11,0-2 22,0-5-22,0-4 23,0-4 10,0-3 102,0-1-124,0-6-11,0-4 0,0-10 0,0-4 11,1-7-11,0 2 11,2-3 0,-1 3 1,0 7 21,-1 4 57,-1 7-1,0 3-55,0 3 11,0 3-45,0 0 56,4 13 45,-2 2-1,5 14-21,-3 3-46,-1 2-21,1 1 44,-2-3-56,0-1 11,0-7 11,-2-4-11,1-6 23,-1-7 56,0-3 929,0-3-985,0-6-12,0-4 57,0-6-23,0-7 112,0-5-23,0-2-33,0-1 102,0 0-12,0 5-79,0 6 90,0 4-68,0 6 34,0 4-44,0 2-102,0 3-234,0 0 201,0 12 0,0 5 33,0 14-66,0 7 33,0 2 0,0-2 33,0-2-33,0-6 0,0-7 0,0-7 135,0-7 89,0-5 706,0-3-796,0-12-33,-1-6-56,-2-18-45,-1 0 0,-2-4-45,2 8 45,0 10-336,3 10-157,1 8 45,0 3 369,0 8-324,0 9-807,1 11-101,2 9-280,0 0 628,1 3 963,-1-6 0,-1-13 0,-1-6 0</inkml:trace>
  <inkml:trace contextRef="#ctx0" brushRef="#br0" timeOffset="1167">779 36 5835,'-3'-14'134,"0"3"112,3 11-134,0 12 0,0 1-22,0 12-12,0-2-44,0 2 11,0 3-12,0 0 57,0-2-23,0-1-11,0-6 45,-1-3 11,0-8 45,0-4 101,0-1 22,-1-3-235,1 0 22,-5-16-67,4-1 11,-3-14-11,3 1-22,0 0 22,1 0 0,1 4 0,0 5 0,0 3 0,0 5 0,0 4 0,0 4-23,0 2-55,0 3 78,0 3 11,0 8 68,0 7-35,0 8-21,0 2-12,0 3 11,0-4 12,0-4-23,0-5 0,0-4-11,0-4 0,0-3-11,0-1-482,0 1-538,0-1 337,0-3 694,-5 0 0,4-2 0,-3-1 0</inkml:trace>
  <inkml:trace contextRef="#ctx0" brushRef="#br0" timeOffset="4121">1619 82 5734,'0'-8'45,"0"3"-12,0 5 90,0 0-78,-2-3 34,1 2-1,-1-2-33,0 3 0,2 0 11,-2 0-56,2 3 11,-1 0-11,1 6 0,0 1 0,0 1 0,0 5 11,0 0-11,0 1 0,0 3 0,0-1 0,0-3 0,0-3 0,0-4 0,0-5 22,0-2 292,0-1-292,0-8-10,0-6-1,0-9 11,0-2 1,0-3 10,0 0 1,0 2-12,1 5 23,-1 3 33,1 8 12,-1 2 0,0 3-46,0 3-77,0 0 33,0 4 11,0 8 0,2 8-11,-1 7 0,2 1 0,0 2 0,-1-5 0,1-5 0,-1-5 11,1-7 57,-2-4 291,-1-1-225,0-11-22,0-3-45,0-11-33,-2-3-1,-2-4-21,0 1-12,-3 0 0,4 6 0,0 8 0,0 7-45,3 5-101,-1 2 169,1 8-23,0-1 22,1 7-22,2-3 11,-1-4 12,1-1-1,-2-3 572,1-1-527,-2-6-56,1 0-11,-1-4 0,0 1-22,0 4-113,0 1-1321,0 3 750,0 9 247,0 4 459,0 11 0,0-12 0,0 1 0</inkml:trace>
  <inkml:trace contextRef="#ctx0" brushRef="#br0" timeOffset="6932">2501 150 5734,'0'-5'0,"0"1"22,0 4-11,-5-12 1,2 7-1,-5-8 0,5 10 0,0 1 0,1-1-11,1 2 34,0 0-23,1 0 23,-1-1 11,0 0-1,1-1 24,0-1-1,0-1-11,0-1 22,0 2 23,0 2 33,0 1-66,0 7-24,0 7 1,0 9-11,0 9-12,0 1 1,0 2-12,0-4 0,0-2-11,0-11 0,0-4 11,0-7 79,0-4 459,0-1-426,0-12-33,0-4-56,0-12 33,0-4-56,0-1 11,0 1-10,0 4-1,0 3-11,0 7 11,0 5-33,0 5-1,0 4-89,0 1 112,0 8 0,0 4 23,0 6-23,0 7 0,0 2 0,1 3 11,0-2 0,-1-2-11,1-8 0,0-5 34,1-7 55,0-3 214,-2-1-225,0-9-33,0-4 0,0-12-12,0-1-22,0-2-11,-2-2 12,1 3-46,-2 4 23,1 8-12,0 5-44,2 6-112,0 2 157,0 2 22,0 5-12,1 5-21,2 5-651,-1 5-201,2 6 325,-2-1 560,-2 3 0,0-15 0,0 0 0</inkml:trace>
  <inkml:trace contextRef="#ctx0" brushRef="#br0" timeOffset="9360">3318 101 5734,'2'-7'11,"-2"3"-11,0 4 0,0 0 0,1-6 0,0 4 0,2-5 0,0 7 0,-2 0-11,2 0 11,-2 0 0,2 0 0,-2 0 11,0 0-11,-1-2 11,2 0 12,-2-2-1,0 3 0,0-2 79,0 3 482,0-2-483,2 4 24,0 1-35,2 6-10,-2 6-23,1 3-12,1 5-10,-1 5-23,2 5-11,-1 4 23,0 3-23,0-4-12,1-5 12,1-6 0,-1-8 12,-1-8-1,-1-5 45,-2-3 11,-1-2-45,0-7-22,0-8 12,0-13-12,0-5 0,0-7 0,0 0 0,0-20 0,0 20 0,0-9 11,0 31-11,0 8 11,0 5-11,0 3-11,0 3 112,0 17-56,0 3 22,0 20-56,0-1 1,0-1-1,0-3-11,0-6-45,0-8-717,0-5-45,0-5 807,-3-5 0,3-3 0,-3-3 0</inkml:trace>
  <inkml:trace contextRef="#ctx0" brushRef="#br0" timeOffset="11401">4400 60 5745,'6'-7'34,"-2"3"-12,-4 4 12,0 0-12,0 4 0,0 3 1,0 2-1,0 2 12,0 3 22,0 1 0,0 5-11,-1 3-12,0 3 12,0 3-23,-1 1 12,2-1 0,-1-3 10,1-5 24,0-5-1,0-6 11,0-4-11,0-4 180,0-2-225,-2-2-22,1-6 0,-2-7 11,2-9-11,-1-7 0,2-7 0,-1-1-11,1-3 22,0 6 1,0 3-1,0 9 22,0 8 102,0 7-57,0 5-55,0 3 33,0 18 34,0 8 33,0 21-67,0 6-45,0 4-11,0-3 191,0-4-135,0-6-12,0-14 35,0-10 134,0-12 683,0-6-862,-3-17-34,-1-9 0,-1-25-34,2 0 23,1 2-34,2 10 12,0 12-68,0 11-773,0 8-281,0 7 450,0 8 380,0 5 325,0 10 0,0-9 0,0-2 0</inkml:trace>
  <inkml:trace contextRef="#ctx0" brushRef="#br0" timeOffset="14265">3871 593 6182,'-2'-24'280,"1"12"-34,1 28 45,0 12 12,0 11 45,0 9 66,0 10-11,0 6-100,0 3-90,0-5-101,0-5-67,0-9-45,0-8 0,0-7-23,0-10-358,0-7-313,0-6 89,0-6-1,0-3 69,-1-1 190,-2-9 201,-1-6 79,-1-12 67,-1-7 0,4 16 0,-1 2 0</inkml:trace>
  <inkml:trace contextRef="#ctx0" brushRef="#br0" timeOffset="14800">3823 533 5745,'0'-4'90,"0"0"134,0 4-135,-3-5-10,3 3 21,-4-5 12,3 7 34,-2 1 11,-1 7 11,-2 1-11,-3 8-34,0 4-44,-1 2-23,-1 0-23,1 0-21,-1-1-12,3-4 0,2-3 0,4-6-12,1-2 12,1-6 90,0 0-79,0-4 0,0-9-11,1-9 0,6-11 0,3-6-11,5 1 11,-1 2 0,-1 8-11,1 9-23,-3 9 34,1 5 68,0 7 144,1 8 248,1 5 111,0 8-380,3-1-102,-1-2-358,2 2-1255,-6-13 281,-2 1 1243,-6-9 0,-4-2 0,0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54.699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12 2755 5756,'1'-50'-22,"-1"10"22,0 33 0,0 3 0,0 2 0,0 1 0,-1 1 0</inkml:trace>
  <inkml:trace contextRef="#ctx0" brushRef="#br0" timeOffset="169">22 2550 5745,'0'-45'-3,"0"7"0,0 34 1,0 2-1</inkml:trace>
  <inkml:trace contextRef="#ctx0" brushRef="#br0" timeOffset="383">0 2160 5790,'1'-58'-14,"-1"9"0,0 45 0,-1 1 0</inkml:trace>
  <inkml:trace contextRef="#ctx0" brushRef="#br0" timeOffset="592">38 1835 5767,'-3'-11'101,"1"3"-101,2 8-33,0 0-35,0-17 35,0 9 33,0-12 0,0 18 0,-1 1 0</inkml:trace>
  <inkml:trace contextRef="#ctx0" brushRef="#br0" timeOffset="760">44 1518 5745,'-1'-52'-4,"0"14"1,1 31-1</inkml:trace>
  <inkml:trace contextRef="#ctx0" brushRef="#br0" timeOffset="942">86 1245 5745,'-2'-7'34,"0"1"-46,2 6-10,0 0 11,0-20 11,0 12 0,0-13 0,0 18 0</inkml:trace>
  <inkml:trace contextRef="#ctx0" brushRef="#br0" timeOffset="1142">94 1020 5745,'0'-7'22,"0"0"-22,0 7 12,0 0-12,0-15 0,0 11-23,0-12 1,0 14 22,0-3 0,0 3 0,0 0 0</inkml:trace>
  <inkml:trace contextRef="#ctx0" brushRef="#br0" timeOffset="1343">119 704 5756,'1'-9'79,"-1"2"-79,0 7-23,0 0-22,0-12 12,0 7 33,-2-12 0,2 16 0,-1-1 0</inkml:trace>
  <inkml:trace contextRef="#ctx0" brushRef="#br0" timeOffset="1540">115 522 5756,'1'-8'79,"-1"-23"-158,0 23 79,0-18 0,0 23 0,-1 2 0</inkml:trace>
  <inkml:trace contextRef="#ctx0" brushRef="#br0" timeOffset="1926">115 509 5969,'2'-87'-34,"-2"17"1,0 65 10,0 3-33,0 1 34,0-1 0,0 1-1,0-2 12,0-2 0,0-5 11,0-1 0,0 1 0,0-1 0,0 4 0,0 2 0,0 3 0,0 0 0,0 1 0,0-1 11,0-1-11,0-1 0,0-2 0,0 0 0,2-1-11,-1-3 11,1 2 0,-2 3 0,2 1 0,-3 4 0</inkml:trace>
  <inkml:trace contextRef="#ctx0" brushRef="#br0" timeOffset="2230">127 93 5734,'-3'-8'56,"0"2"-45,3 6 34,0 0-45,0 3-11,-1 1-57,1 3 35,0-2 33,0 0 0,0-4 0,-1 0 0</inkml:trace>
  <inkml:trace contextRef="#ctx0" brushRef="#br0" timeOffset="4046">121 79 7694,'5'-28'146,"-3"3"-23,-5 20 56,0 0 34,-1 1 0,2 2-23,-1 0 1,0 2-56,1-1-46,-1 1 79,1 0-78,-2 0-34,2 0 0,-2 0 22,0 0 12,0 0-12,0 0 12,0 2-45,0 1 0,1 1-45,2 0 78,-1 1-56,2-1 113,-1 0-11,1-1 212,0-1 1064,0-1-1400,0 1 0,0 1 0,0 0 0,0 2 0,0-1 34,3 1-34,-1-1 0,4-1 45,-1 2-45,0-3 0,1 1 0,0-1 0,0 2 33,-1-3-33,1 1 135,-4-2 55,1 0 45,0 0 90,-2 0 1199,2-1-851,-2-2-57,-1 0-247,0-2-189,0-1 11,0-1 21,0 0 136,0-1-348,0 1 112,0 0 235,0 2-235,0 2 124,0 1 313,0 1-269,0 0 145,0-1-425,0 0 449,-3 1 223,1 1 381,-1 0-661,2 0 202,-2 0-403,0 0 11,1 0-202,-1 0-202,-1 0 11,1 0 191,0 3 191,1 1-191,-1 3 0,2-1 0,-1 2 638,2-3-638,-1 1 0,1 0 213,0 0-213,0 2 448,0-3-234,0 3 10,0-2 0,0 3 716,0-5-457,0 1 727,0-2 281,2-1-1491,0-1 0,1 0 0,1-1 0,0 1 0,-1-1 0,1 1 0,1-1 0,0 0 0,1 0 0,-1 0 0,2 0 0,-2 0 0,2 0 0,-2 0 0,2-1 0,-2-2 0,2-1 0,-2-2 0,2 1 0,-2-1 0,1-1 0,-3 3 0,1-2 0,-2 2 0,-1-4 0,-1 0 0,0-1 0,0 3 0,0-4 0,0 4 0,0-1 0,0 2 0,-3-3 0,0 4 0,-2 1 0,1 3 0,2 0 0,-2 0 0,-2 0 0,4 0 0,-4 0 0,2 0 0,-1 1 0,2 1 0,-1 1 0,2 2 0,-1-1 0,-1 0 0,0 1 0,1 1 0,1 2 0,2 1 0,0 1 0,0 1 0,0 3 0,0-1 0,0 0 0,2-5 0,2-3 0,2 0 0,-1-2 0,2-2 0,-2-1 0,0 0 0,1-6 0,-4 0 0,1-7 0,-3 0 0,0-2 0,0 2 0,0 2 0,0 2 0,0 5 0,0 2-9831,0 2 0,-1 7 6981,-2 4 2425,0 9 425,1-1 0,2-7 0,-1-5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53.649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98 1153 5801,'-3'0'56,"1"0"-157,2 0 79,-2 0 22,0 0 0,0 0 0,1 0 0</inkml:trace>
  <inkml:trace contextRef="#ctx0" brushRef="#br0" timeOffset="173">37 998 5812,'-4'-19'-78,"0"1"78,4 14 0,0 1 0,0-1 0</inkml:trace>
  <inkml:trace contextRef="#ctx0" brushRef="#br0" timeOffset="324">13 788 5745,'-5'-8'0,"1"4"-11,4 4 11,0 0 0,-1 0 0</inkml:trace>
  <inkml:trace contextRef="#ctx0" brushRef="#br0" timeOffset="481">9 543 5734,'-4'-5'0,"0"2"0,4 3 0,0 0 0</inkml:trace>
  <inkml:trace contextRef="#ctx0" brushRef="#br0" timeOffset="649">5 275 5734,'-1'-29'0,"1"7"0,-1 19 0</inkml:trace>
  <inkml:trace contextRef="#ctx0" brushRef="#br0" timeOffset="790">17 1 5734,'0'0'0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5:59.803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38 4588 6103,'3'6'-347,"-1"-2"347,-1-2 0,-1-1 0,0-1 0</inkml:trace>
  <inkml:trace contextRef="#ctx0" brushRef="#br0" timeOffset="158">44 4364 5801,'0'-11'56,"0"3"-56,0 8-101,0 0 79,0-35 22,0 23 0,0-25 0,0 35 0</inkml:trace>
  <inkml:trace contextRef="#ctx0" brushRef="#br0" timeOffset="340">58 4039 5767,'0'-64'0,"0"14"-22,0 44 11,0 3 11,0-1 0,0 4 0,0-1 0</inkml:trace>
  <inkml:trace contextRef="#ctx0" brushRef="#br0" timeOffset="502">62 3630 5734,'-4'-48'0,"2"10"0</inkml:trace>
  <inkml:trace contextRef="#ctx0" brushRef="#br0" timeOffset="677">58 3287 5734,'0'-56'0,"0"12"0</inkml:trace>
  <inkml:trace contextRef="#ctx0" brushRef="#br0" timeOffset="865">58 2891 5857,'0'-10'258,"0"2"-258,0 8-247,0 0 146,-2-32 101,2 20 0,-2-21 0,2 28 0</inkml:trace>
  <inkml:trace contextRef="#ctx0" brushRef="#br0" timeOffset="1028">26 2559 5734,'0'-48'0,"0"9"0</inkml:trace>
  <inkml:trace contextRef="#ctx0" brushRef="#br0" timeOffset="1231">26 2181 5835,'5'-44'-26,"-1"6"1,-3 32 0,-1 0 0</inkml:trace>
  <inkml:trace contextRef="#ctx0" brushRef="#br0" timeOffset="1397">40 1911 5823,'-2'-8'90,"0"2"-135,2 6-44,0 0 44,0-35 45,0 25 0,0-26 0,0 34 0</inkml:trace>
  <inkml:trace contextRef="#ctx0" brushRef="#br0" timeOffset="1574">40 1668 5745,'0'-8'22,"0"1"-10,0 7 21,0 0-33,0-38 0,0 23-45,0-33 12,0 37 33,0-5 0,0 9 0,0-1 0</inkml:trace>
  <inkml:trace contextRef="#ctx0" brushRef="#br0" timeOffset="1741">64 1310 5857,'0'-6'302,"0"2"-526,0 4 90,4-29 67,-4 22 67,4-21 0,-4 26 0,0 1 0</inkml:trace>
  <inkml:trace contextRef="#ctx0" brushRef="#br0" timeOffset="1908">80 1001 5734,'0'0'0</inkml:trace>
  <inkml:trace contextRef="#ctx0" brushRef="#br0" timeOffset="2102">88 781 5756,'0'-13'101,"0"6"-101,0 7-22,0 0-34,-1-10 11,1 6 45,-1-7 0,1 10 0,0 1 0</inkml:trace>
  <inkml:trace contextRef="#ctx0" brushRef="#br0" timeOffset="2282">84 595 5767,'0'-8'68,"0"2"-57,0 6-34,0 0-21,0-20-1,0 14 45,0-10 0,0 13 0,0 3 0</inkml:trace>
  <inkml:trace contextRef="#ctx0" brushRef="#br0" timeOffset="2508">74 311 5745,'0'-3'146,"0"0"-135,0 3-45,0-12-33,0 9 0,0-9 67,0 8 0,0 1 0,0 1 0</inkml:trace>
  <inkml:trace contextRef="#ctx0" brushRef="#br0" timeOffset="3625">74 305 5823,'-2'-80'426,"0"13"-280,2 64-102,0 1-44,0-1-11,0-1-67,0-3-135,0 3 23,0 1 100,1 0 23,0 2 44,2-1 1,-1 1 22,0 0 11,-1 1 0,-1-2 23,0-1 0,0-4-12,0 1 0,0-3 23,0 0 22,0 1 34,0 1 67,0 3 11,0-1 45,0 3 79,0 0-12,-1 2 79,-1-1 0,0 1 123,-1 0-34,1 0 79,0 0 67,0 0-11,0 0 33,0 0-21,-1 0-315,1 0-56,-1 2 0,2 1-179,0 3-56,1-3 0,0 2 0,0-1 45,0 0 45,2-1-90,4-2 291,3 0-123,3-1 191,-2-2-180,0-2 56,-1-9-235,-4 2 180,0-4 122,-4 6-78,0 2 79,-1 3-12,0 1-201,-4 1 190,-1-1 0,-4 2 493,-1 0 269,-1 1-235,1 0 34,-1 0 335,-2 5-649,4 0-337,0 6 202,4 1-392,3 0 202,0 0-202,2 0 0,0-2 190,2 1 12,4-6 403,3-2 1166,3-3 2129,4-5-3900,-3-3 0,0-5 0,-6 0 0,-5 2 0,0-1 0,-2 3 0,0 0 0,0 1 0,0 2 0,-6 2 0,2 2 0,-4 0 0,2 2 0,0 0 0,-2 0 0,1 5 0,-1-1 0,1 5 0,1 2 0,2 0 0,1 1 0,2 2 0,1-3 0,0 1 0,2-4 0,4-2 0,4-2 0,1-1 0,2-3 0,-2-7 0,-2-1 0,-2-6 0,-4-1 0,-1-1 0,-2 2 0,-1-1 0,-6 4 0,-11-1 0,0 7 0,-4 0 0,11 5 0,3 4 0,3 6 0,2 3-9831,2 11 0,1 6 6567,-2 5 3264,-1 2 0,1-14 0,-1-7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6:10.798"/>
    </inkml:context>
    <inkml:brush xml:id="br0">
      <inkml:brushProperty name="width" value="0.17143" units="cm"/>
      <inkml:brushProperty name="height" value="0.17143" units="cm"/>
      <inkml:brushProperty name="color" value="#008C3A"/>
    </inkml:brush>
  </inkml:definitions>
  <inkml:trace contextRef="#ctx0" brushRef="#br0">97 453 9857,'-4'-10'919,"2"1"-706,2 3 55,0-1-21,0 2 123,0-2-68,0 0 68,0 0 11,0 0-101,0 0-100,0 0 234,0 1 0,1 1-122,-1 0-68,1 0-68,0 0-9,-1 1-69,1-1-11,0 0-67,-1-2 0,1 0 157,0-1 0,-1 0-56,1 0-12,0 0 102,0-5-12,1 4-179,-1-5 90,1 5-90,-2-2 100,1 2-10,-1 0-90,0 1 90,0-1-90,0 2 0,0 2-90,0 2 0,0 0 90,1 1 0,0-1 0,0-1 0,0 1 0,-1-4 0,1 1 0,-1-1 0,1-1 0,-1 2 90,0-2-90,0 2 0,0-1 0,0 1 0,0-3-90,0 4-10,0-3 100,0 5-90,0 0-190,0 1 280,0-1 0,0 1 0,0-1-90,0 0 1,0 1-1637,0-1 1301,0 0-1940,0 1 2399,0 11 22,0-3-23,-2 9-33,0-5 23,-2-2 10,-1 1 1,1-1-34,-1 0 22,0-1 12,2 0-34,-2-1 45,2 0-45,-2 0 0,1 0 33,-2 0 1,1 0-34,1 0 0,-1-1 0,3 0 0,-1-2 112,1 0-67,0 0-12,0-1 46,0 2-79,-1-2 33,0 1-33,-4 2-33,2 0 33,-1 2 0,3-3 33,0-2 1312,2-1-1345,0-7 0,1 2 56,0-5-56,1 1 0,2-1 0,0-1 0,2-1 0,-1 2 45,-1-2-90,0 3 90,-1-1-90,1 2 45,0-1 0,0 2 0,1-1 0,-1 1 0,0 0 0,1 1 45,-2-1-90,3-2 45,-3 2 45,2-3-45,-3 3 0,1 0 0,-1 0 0,1 0 0,-1 1-45,1 0 90,-1 2-45,0 1 0,1-1 0,-2 0 0,1 0 0,-1-2 180,0 3-180,0-1 0,0 0 0,1 1-1076,-1-2 1020,3 3 56,0-1 0,1 3 0,0 2 0,-2 1-45,1 2 45,0 0 45,-1 1-45,2 0 0,-1 0-45,1 1 45,1-1 45,-1 0-45,1 1 0,-1-1 0,0 1 0,0 0 0,0 1 0,1 0 0,0 2 0,2-2 0,-1 2 0,1-3 0,-2-1 0,0 0 0,-1-3 56,0 3-56,-2-4 0,0 2-56,-2-4 56,2 2 56,0-2-56,3 4 0,-1-2 0,1 2 45,-1-2-1,0-1 1771,-2-1-1747,-8-6 88,2 2-88,-6-4 88,5 3 68,0-2-156,-1 2 11,0-1-1,0 0-78,1 1 0,0-1 67,1 0-67,-1 0 0,-1-2 79,-3-5-79,1 1 0,1-2 78,2 4-78,2 2 0,-1 0 0,1 1 0,-1 0-78,0 1 78,1 0 0,0 1-1569,2 2 986,-1 0-537,1 10-1222,0-1 180,0 12 996,1-1 662,0 5 504,0 2 0,0-11 0,0-2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6:17.331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111 1802 5745,'0'10'101,"0"0"-79,0-10 57,0 0-68,0-4-11,0-2-11,0-1-68,0 1-10,0-3 44,0 3 45,-4-4 0,3 5 0,-2 0 0</inkml:trace>
  <inkml:trace contextRef="#ctx0" brushRef="#br0" timeOffset="221">81 1529 6092,'0'-22'-78,"0"4"-12,0 13 1,0 3 21,0-1 35,0-2 33,0 0 0,0 2 0,0 0 0</inkml:trace>
  <inkml:trace contextRef="#ctx0" brushRef="#br0" timeOffset="402">89 1327 5790,'0'-22'-56,"0"1"56,-2 10 0,1-6 0,0 10 0,1-1 0</inkml:trace>
  <inkml:trace contextRef="#ctx0" brushRef="#br0" timeOffset="589">85 1055 6059,'0'-24'145,"0"1"-145,0 18-134,-2-1-68,0 2 79,-3 2 123,0-4 0,2 5 0,0-4 0</inkml:trace>
  <inkml:trace contextRef="#ctx0" brushRef="#br0" timeOffset="755">45 843 5756,'-1'-6'135,"0"1"-180,1 5-34,-5-18 46,2 10 33,-4-17 0,5 22 0,1-2 0</inkml:trace>
  <inkml:trace contextRef="#ctx0" brushRef="#br0" timeOffset="936">25 515 5767,'-3'-11'79,"2"3"-79,1 8-67,0 0 44,0-21 1,0 11 22,0-15 0,0 20 0,0 2 0</inkml:trace>
  <inkml:trace contextRef="#ctx0" brushRef="#br0" timeOffset="1117">25 288 5857,'0'-14'-31,"0"0"0,0 12 1,0-1-1</inkml:trace>
  <inkml:trace contextRef="#ctx0" brushRef="#br0" timeOffset="1986">53 56 5756,'0'-5'291,"0"-2"-111,0 7 447,0 0-190,0-5 101,0 4 123,0-5-146,0 3-347,0 2-168,0-1-1815,0 0 1176,-2 1 303,1 1 135,-1 0 100,0 0 79,1 0 33,0 0 0,-1 0 11,1 0 12,-2 0 11,0 0 0,-1 1 33,0 3 12,1 0-1,0 2 23,2-3 11,0 3 12,1 1 22,0-2-23,0 2-22,0-3 23,3-1 55,3-2 124,2-1 168,1 0 45,-2 0 156,0-1 11,-3-5-111,0 0-135,-3-4 337,0-2 324,-1 4-213,0-2 595,-1 3-135,-2 0 4482,-6 3-1446,1 2-2901,-4 1-1491,4 1 0,-3 5 0,6 1 0,-3 4 0,6 2 0,1 0 0,1 0 0,1-2 0,3-2 0,5-1 0,1-6 0,2 0 0,-3-1 0,-3-3 0,-1-5 0,-2-6 0,-2 0 0,-1-2 0,0 8 0,0 1 0,-2 6 0,1 1 0,-2 0 0,1 0 0,1 2 0,0 3 0,1 3 0,0 2 0,0-4 0,3-3 0,0-2 0,2-1 0,-1 0 0,-2-4 0,-1-2 0,-1-4 0,0 1 0,0 4 0,0 3 0,0 1-9831,-1 10 0,-1 5 6668,-2 8 3163,0 2 0,0-11 0,3-4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6:27.035"/>
    </inkml:context>
    <inkml:brush xml:id="br0">
      <inkml:brushProperty name="width" value="0.08571" units="cm"/>
      <inkml:brushProperty name="height" value="0.08571" units="cm"/>
      <inkml:brushProperty name="color" value="#00A0D7"/>
    </inkml:brush>
  </inkml:definitions>
  <inkml:trace contextRef="#ctx0" brushRef="#br0">177 1624 5745,'3'29'22,"-1"-8"12,-1-21 414,0 0-370,0 0 1,2 0 10,0 0 12,1 0 45,0 0-34,0-2 11,-1-1 56,0-3 46,-1 0 66,0-2 56,-1-1-44,1-1-79,-2-1 0,1 1 79,0 0-12,-1-3-11,1 4-23,-1-2 79,0 3 24,0-2 300,0 1-492,0 2 23,0-4-12,0 4 57,0-6-57,0 4 56,0-4 101,0 3 393,0-3 346,0 1-66,0 2-79,0-1-280,0 2-303,0 0 236,0-5-292,0 3-11,0-3-145,0 5 10,0-2 135,0 0-145,0 0 179,0 0 190,0-4-336,0 4-168,0-3 168,0 2-168,0 0 0,0-2 0,0 1 336,0-1 213,0 4-347,0-4 190,0-5-202,0 4 203,0-5-393,0 6 202,0 1-202,0-2 0,0 1 1097,0-1 988,0-8-875,0 3 281,-1-5-1491,0 7 0,-1 3 0,-1-2 0,0 2 0,-1 1 0,1 1 0,1 1 0,0-4 0,2 3 0,-2-3 0,2 9 0,-1-5 0,0 5 0,0-8 0,-1 3 0,0-5 0,1 7 0,-1-5 0,2 2 0,-2 1 0,1-2 0,-1 1 0,0-1 0,0 1 0,-1-1 0,0-6 0,0 4 0,0-6 0,1 6 0,1 0 0,0-1 0,1-1 0,0 1 0,-2-7 0,1 5 0,-1-6 0,-1 8 0,0-4 0,-1 4 0,0-4 0,2 10 0,1 1 0,1-3 0,0 3 0,0-3 0,0 0 0,0-1 0,0 2 0,0-2 0,-1 4 0,1-2 0,-1-4 0,1 4 0,0 0 0,0 2 0,-2-2 0,1 0 0,-1-1 0,1 5 0,1-1 0,0 3 0,0 0 0,0-1 0,0 3 0,0-1 0,-1-14 0,1 9 0,-1-12 0,1 13 0,0 1 0,0 4 0,0-2 0,0 1 0,0 3 0,0-2 0,0 2 0,0-1 0,0-1 0,0 1 0,0 2 0,-1-1 0,0 2 0,-1 0 0,0 0 0,0 0 0,1 0 0,-1 3 0,1 1 0,-2 3 0,0 0 0,-2 3 0,0-1 0,-1 0 0,0 3 0,0-3 0,0 4 0,0-1 0,-1 2 0,1 1 0,-2 0 0,2 4 0,-4 3 0,4-1 0,0 1 0,2-5 0,0 9 0,0-8 0,0 3 0,2-9 0,0-4 0,1-3 0,1-3 0,0-1 0,0-5 0,0-1 0,0-5 0,3-1 0,0-2 0,4 2 0,1-3 0,0 1 0,0-1 0,0 1 0,-2 1 0,0 0 0,0-1 0,-1 1 0,1-1 0,-1 1 0,0 2 0,-2 1 0,-1 5 0,0 1 0,-1 2 0,0 0 0,1 1 0,0 0 0,2 0 0,0 0 0,1 0 0,2 0 0,1 0 0,2 0 0,2 1 0,8 8 0,-4 3 0,7 8 0,-9-2 0,0 3 0,-3 1 0,-1 1 0,-2 0-9831,-3 18 0,-2-5 9191,-2 15 1,-1-27-1,0-4 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6:29.819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3715 744 5767,'0'-4'146,"0"0"56,0 4 44,0-2-201,0 8 0,0 2 11,-2 8-34,-1 7 0,-1 0-10,-2 3-12,1 1 0,-1 5 0,1-6 0,-1-4 0,3-4 0,1-9-12,1-4 12,1-3 45,0-2 11,0-6 67,0-3 12,0-8-34,0-6 11,0-2-12,0-5 2,0 4-35,1 3 23,1 1 10,0 8-44,2 0-11,-1 4 0,0 3-34,1 0-11,-1 3 0,2 1-22,3 2 11,4 1-12,1 3 23,2 5 11,0 5 12,0 7-23,3 7 11,-5-7-11,1 4-11,-7-14-79,-2-1-100,-3-3-46,0-1-178,-2-3 66,0 0 1,0-1 0</inkml:trace>
  <inkml:trace contextRef="#ctx0" brushRef="#br0" timeOffset="380">3742 705 5756,'-4'-7'135,"0"2"-57,4 5 180,0 0-113,-4-23 79,2 10 45,-6-22 11,2 14-78,-3-1 11,1-3-23,0-5-100,1 3-45,0 1-45,4 4 0,1 2-23,2 3-66,0 7-12,0 4-123,0 3-415,4 3 135,1 0 123,3 2 224,-4 4 157,-1 2 0,-2-2 0,-1 0 0</inkml:trace>
  <inkml:trace contextRef="#ctx0" brushRef="#br0" timeOffset="881">3652 118 6507,'-41'-21'134,"7"5"-134,24 19 0,1 3-11,1 7 11,2 6 0,1 2-23,3-1 23,1 3-11,2-6 0,6 2 11,6-5 0,8-1 11,1-7 0,2-2 12,0-3 44,-2-6 79,-1-4 100,-5-9 79,2-5-22,-9-4-12,-3-2-22,-4-1 44,-2 1-88,-4 3-135,-4 5-90,-6 5-180,-4 9-851,5 8 236,2 8 179,4 12 190,6 4 303,1 2 123,0 2 0,0-13 0,0-4 0</inkml:trace>
  <inkml:trace contextRef="#ctx0" brushRef="#br0" timeOffset="1416">3636 407 6115,'-7'-6'56,"0"9"-56,-1 15 11,0 5-11,-1 4 0,-1 1 0,1-1 0,-1-1 0,4-7 0,1-4 0,3-9 0,1-3 112,1-2-45,0-9 11,0-9 12,5-9-12,0-6-33,8 2-22,-1 3-1,1 3-11,1 6 0,0 4 1,1 8-24,0 1 12,1 5 0,-1 7 0,2 2 12,3 7-1,-2 0 0,-1-1 0,-1-5-11,-3 0-11,0-2-751,-5-3 527,-3-3 235,-3-1 0,-2-1 0,0 0 0</inkml:trace>
  <inkml:trace contextRef="#ctx0" brushRef="#br0" timeOffset="3248">3293 212 5745,'-9'-9'112,"2"3"-67,7 6 134,0 0-67,-8-11 22,4 2 46,-9-9-46,5 8 56,-3 0-33,0-1-11,-4 1-34,-1-1 12,-6 4-24,0-3 12,-5 4 23,-3-5-34,-5 3-68,-6-5 1,-5 1-34,-7-4 0,-3 5 11,2 3 0,-2 4-11,2 4 11,0 4-11,3 4-11,0 3-56,-25 15 67,16-7-11,-17 12 11,25-11-11,0 5-1,1-3 12,0 6 0,-1-2 12,-26 8-35,20-5 12,-14 7 11,28-8-34,2 0 34,3 2 0,-15 18 0,12-12-11,-10 11 11,17-14 11,1 1 12,0-2-12,-1 3-11,0-2 0,-1 1 0,-1 2-11,4-2 22,-2 0-11,-13 18 22,10-16-22,-12 14-22,12-12 11,2 4-12,-2 5 12,1 2 0,-2-1-11,-10 16 10,11-15 1,-5 12 0,16-17-11,1 4 22,1 2 0,-10 25-12,10-12 12,-12 19-11,14-21 11,-2 1 0,0 1 0,1 4-22,2-4 22,2-3 0,-1-2 0,6-6-23,0 1 12,-2 16 11,5-17 11,-7 17-11,6-24 0,-1 0 0,0-1 0,0 2 0,0 1 0,1 2 0,-1 1 0,0 20 0,4-15 0,-2 17 0,5-21 12,1-3-12,-1 1 11,-2-1-11,-1 1 0,-2-4 0,-2-2 0,1-4 0,1 3 0,2-2 0,2 1 0,1 1 0,2-1 0,0 0 0,1-1 0,-2-2 0,-1-7 0,0 2 0,0-10 11,-2 9-11,4-13 11,-2 3 23,4-16-23,1-3 0,2-1 12,-1-2-1,-1 0-22,1-6 11,-3-1-11,1-7 23,-3-2-12,1-1-11,-4-1 11,1 0-11,-1-4 0,-2 1-11,1-2 0,1 4-1,3-1 12,2 4 0,2 2-22,1 2-34,1 6-11,0 3 22,0 1 45,1 7 0,1 3 0,3 9 0,1 7-11,-1 3 11,1 6 11,1 5-11,2 0 0,-1-2-11,2-4 11,2-7-11,-1-9-12,2-8 23,3-4 23,4-5-12,0-9 0,4-6-11,1-14 11,2-4 0,-2-5-11,0 2 0,-5 1-471,-4 10-335,-5 6 324,-5 12 482,-4 4 0,-2 4 0,0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6:50.466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0 82 9830,'52'-7'235,"-8"-1"-235,-25 4 11,0 0 0,-1 0-11,0 2 0,1 0 11,-1 0-11,2 0 0,-1 0 0,1 1 0,0 0 0,0-2 0,-3 0 0,0 0 12,-4 0 10,2-1-22,3-1 11,-4 1-11,6 1 179,-9 1-167,6-1-1,-1 1 0,-2 1-11,5 1 0,-6 0 0,5-2-135,-4 0 1,1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7:45.776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40 1009 5902,'-11'1'235,"1"1"-157,8-2-10,-2 0-1,4 0 280,-2 0-280,1-5 23,1-2-1,1-6 57,2-5-23,3 0 35,0-5-24,0 1-56,3 1-33,-5-2 11,4 3-22,-3-2-1,2 0 1,1-3-12,-2-1 1,2 0-12,0-2 23,0 1 10,0 1-32,2 3 10,-1-1 12,0 3-12,-2-1-3403,2 1 3404,-1 0-12,0-4 0,0 0 0,2-5-22,2-1 11,8-19 11,4-6 3381,1 3-3381,-5 9 1,-10 21 21,-2 6-10,0 3 33,-5 3-23,0 5-22,0 1-11,-1 4-33,-1 0-12,0 1-45,1 0 102,-1 2 21,-1 3-22,0 6 1,0 4-1,-1 3-11,-3 6 33,-4-1-33,-3 6 12,1-1-24,-4 4 12,1 0 0,0 0 0,-2 1 12,2-2-12,-2 1 0,0-1 11,0 2 0,-2 1-11,1 1 22,-3 0-33,3 3 11,-10 23 23,8-12-23,-4 14 0,9-21-12,5-9 12,0-6-11,5-7 22,0-8-11,2-3 0,1-4 12,-1-4-12,1 0 1871,-1-1-1411,-1 0-192,1-4-144,-2-2-68,2-3-56,-1 1-23,1 5 23,0 0-157,0 2 157,1-1 34,0 0 0,0-6-12,0-3-22,1-6 0,2-4 0,3-4 34,4-5-34,1-1-56,2-2 56,-1-2 0,2 2 0,1 1 0,-1 2-34,-1 0 0,2 1 12,-1-1-12,0 1 1,2-3 10,7-16-10,-7 10-57,7-11 34,-9 17 0,-2 5 34,-1 4-1,-3 4 23,-1 2 0,1-2 0,-2 9-78,1 0 33,-4 8-23,-2 2-10,3-1-79,-3 0-123,2 0 112,-3-2 157,3 0-12,2-1 23,0-3 0,2-1 0,-2 0 23,0-2-23,-1 4 0,2-3 0,-2-1 0,3-4 0,3-4 0,2-4 0,0 1 0,0 2 11,-6 3-11,2 5 0,-4 4-11,-1 4 11,-3 2 56,0 1-56,-3 0 33,1 0-10,-4 1 10,-1 0 23,3 1-11,-4 0-45,3 0 112,-3 0-67,-2 0-45,-1 1 56,-2 2-56,-3 2 22,1 3-22,-3 1 23,0 5-1,-3-2 68,1 3-57,0-2 103,-2 2 9,2-1-33,-1-1-56,3 1 11,-1-3 113,6 0 55,1-7 101,1 1 146,5-5 313,0-1 46,3 1-102,-1-2 79,2 0-123,-2 0-606,3 0-458,1 0 369,1-5 0,4 0-101,4-6-56,2 0 157,3-1-78,0 1-1,4 0-3380,-2 0 3381,3 1-1,-1 0 11,0-1-10,1 3 78,0-4-78,1 1 78,-1-1 3324,-2 1-3480,-2 1 156,-1 1-224,-6 2 156,3 3 68,-3-1 0,-2 3-56,1 0 56,-2 1-56,-2 1 1,1 0-69,0-1-234,-3 1 358,-1 2 0,0 3 56,0 5-56,0 3 0,0 0 0,1 4-56,0 1 112,1 4-56,2 2 0,0 7 0,-1 2 0,2 4 0,-2 0 0,-2-3 0,1-4 67,-1-7-67,3-8 0,-3-6 112,0-5 67,1-3-2622,-2-1-1265,0 3 1938,0 3 1770,0 9 0,0-7 0,-1 2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3-14T17:07:48.870"/>
    </inkml:context>
    <inkml:brush xml:id="br0">
      <inkml:brushProperty name="width" value="0.08571" units="cm"/>
      <inkml:brushProperty name="height" value="0.08571" units="cm"/>
      <inkml:brushProperty name="color" value="#E71224"/>
    </inkml:brush>
  </inkml:definitions>
  <inkml:trace contextRef="#ctx0" brushRef="#br0">9 276 5745,'-4'1'112,"0"0"224,4-1-224,17-11 11,-7 5 23,15-10-45,-9 9 33,0-2-22,2 2 45,1-1-23,1 0-21,2-1-1,2 0-23,2 0-21,1 0-24,2 1 35,0 0-12,1 0 45,1-1 11,-1 1 23,0-1-1,0 1 57,-2 0-34,-2 1-33,-2-1-12,-6 2-33,0 0-45,-6 2-34,-2 1 78,-2 1-77,-4 1 10,-2-1 146,-2 2-146,-4-1 1,-4 1-23,-8 3 11,-4 1-11,-2 2 0,-2 0 0,-2 0 0,0-1 0,-2 1 0,1 0 22,-1 2-22,-2-1 0,1 3 0,-3-1 0,2 0 56,2 0-56,2-1 0,6 0 0,2 0 0,4-1 0,1 0 0,2-2 0,0 0 0,2-1-22,1-1 11,2 0 22,1-1 11,2-1 628,2 0-650,7-1 123,3 0-77,7 0 99,2-4-77,4-3 111,4-5-90,4-2-33,0-1 34,1-1-23,-4 1-67,0 2 0,-4 0 0,0 3 0,-1 1-33,1-1-1,0 3 12,12-4 22,-9 4-34,8-1 34,-16 3-34,-4 2 12,-4 1-68,-6 1 23,-2 1 157,-2 0-23,-4 0-45,-1 0-22,-4-1 68,-1-1-46,-2-2 12,1 0 22,0-1 11,3 0-11,0 2 0,3-2-56,0 2 33,0 0-33,-2 1-56,1 2 23,-5-1 33,3 1 0,-3 0 0,6 0 0,0 0 0,1 0 0,0 0 33,-1 0-10,2 0 66,1 1 135,0-1 0,0 1 5536,2-1-5760,5 0 0,2 0 0,6 0 0,2 0 112,-1 1-112,3 0 0,0 1 0,1-1-112,0 1 336,0-2-448,-4 2 224,-2-1 0,-2 1 347,-4 1-347,-2-1 0,0 0 0,-2-2 0,0 1-347,-1-1 235,0 2 112,-1 2 112,0 3 0,0 4-112,-3 2 112,-4 2-112,-7 4 0,-1 0 0,-1 3 0,2 1-112,3-3 0,1 3-347,5-9-3396,0 4-89,4-8 1445,-2 3 1514,-1 1 985,-2-1 0,2-4 0,0-4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rightToLeft="1" tabSelected="1" zoomScale="180" zoomScaleNormal="180" workbookViewId="0">
      <selection activeCell="E54" sqref="E54"/>
    </sheetView>
  </sheetViews>
  <sheetFormatPr baseColWidth="10" defaultColWidth="8.83203125" defaultRowHeight="15" x14ac:dyDescent="0.2"/>
  <cols>
    <col min="1" max="1" width="29.6640625" customWidth="1"/>
    <col min="2" max="2" width="13.5" customWidth="1"/>
    <col min="5" max="5" width="19.6640625" customWidth="1"/>
    <col min="6" max="6" width="10.6640625" customWidth="1"/>
    <col min="7" max="7" width="19.33203125" customWidth="1"/>
    <col min="8" max="8" width="12.5" customWidth="1"/>
    <col min="9" max="9" width="11.1640625" bestFit="1" customWidth="1"/>
    <col min="10" max="10" width="11.33203125" customWidth="1"/>
  </cols>
  <sheetData>
    <row r="1" spans="1:9" ht="16" thickBot="1" x14ac:dyDescent="0.25">
      <c r="A1" s="68" t="s">
        <v>0</v>
      </c>
      <c r="B1" s="69"/>
    </row>
    <row r="2" spans="1:9" ht="16" thickBot="1" x14ac:dyDescent="0.25">
      <c r="A2" s="28" t="s">
        <v>1</v>
      </c>
      <c r="B2" s="12" t="s">
        <v>2</v>
      </c>
      <c r="E2" s="68" t="s">
        <v>16</v>
      </c>
      <c r="F2" s="82"/>
      <c r="G2" s="82"/>
      <c r="H2" s="69"/>
    </row>
    <row r="3" spans="1:9" ht="16" x14ac:dyDescent="0.2">
      <c r="A3" s="13" t="s">
        <v>8</v>
      </c>
      <c r="B3" s="8">
        <f>0</f>
        <v>0</v>
      </c>
      <c r="E3" s="70" t="s">
        <v>4</v>
      </c>
      <c r="F3" s="71"/>
      <c r="G3" s="72" t="s">
        <v>5</v>
      </c>
      <c r="H3" s="73"/>
    </row>
    <row r="4" spans="1:9" ht="16" x14ac:dyDescent="0.2">
      <c r="A4" s="14" t="s">
        <v>23</v>
      </c>
      <c r="B4" s="8">
        <f>0</f>
        <v>0</v>
      </c>
      <c r="E4" s="7" t="str">
        <f t="shared" ref="E4:F8" si="0">A3</f>
        <v>מזומן</v>
      </c>
      <c r="F4" s="2">
        <f>B3</f>
        <v>0</v>
      </c>
      <c r="G4" s="30" t="str">
        <f>A8</f>
        <v xml:space="preserve">ספקים </v>
      </c>
      <c r="H4" s="32">
        <f>B8</f>
        <v>0</v>
      </c>
    </row>
    <row r="5" spans="1:9" ht="16" x14ac:dyDescent="0.2">
      <c r="A5" s="14" t="s">
        <v>11</v>
      </c>
      <c r="B5" s="8">
        <f>0</f>
        <v>0</v>
      </c>
      <c r="E5" s="7" t="str">
        <f t="shared" si="0"/>
        <v>לקוחות</v>
      </c>
      <c r="F5" s="2">
        <f t="shared" si="0"/>
        <v>0</v>
      </c>
      <c r="G5" s="1" t="str">
        <f>A9</f>
        <v>הלוואה</v>
      </c>
      <c r="H5" s="8">
        <f>B9</f>
        <v>0</v>
      </c>
    </row>
    <row r="6" spans="1:9" ht="16" x14ac:dyDescent="0.2">
      <c r="A6" s="14" t="s">
        <v>26</v>
      </c>
      <c r="B6" s="8">
        <f>0</f>
        <v>0</v>
      </c>
      <c r="E6" s="7" t="str">
        <f t="shared" si="0"/>
        <v>מלאי</v>
      </c>
      <c r="F6" s="2">
        <f t="shared" si="0"/>
        <v>0</v>
      </c>
      <c r="G6" s="1" t="str">
        <f>A11</f>
        <v>זכאים אחרים</v>
      </c>
      <c r="H6" s="8">
        <f>B11</f>
        <v>0</v>
      </c>
    </row>
    <row r="7" spans="1:9" ht="16" x14ac:dyDescent="0.2">
      <c r="A7" s="50" t="s">
        <v>27</v>
      </c>
      <c r="B7" s="8">
        <f>0</f>
        <v>0</v>
      </c>
      <c r="E7" s="7" t="str">
        <f t="shared" si="0"/>
        <v>רכב</v>
      </c>
      <c r="F7" s="2">
        <f>B6</f>
        <v>0</v>
      </c>
      <c r="G7" s="1"/>
      <c r="H7" s="8"/>
    </row>
    <row r="8" spans="1:9" ht="16" x14ac:dyDescent="0.2">
      <c r="A8" s="14" t="s">
        <v>39</v>
      </c>
      <c r="B8" s="8">
        <f>0</f>
        <v>0</v>
      </c>
      <c r="E8" s="7" t="str">
        <f t="shared" si="0"/>
        <v>מבנה</v>
      </c>
      <c r="F8" s="2">
        <f t="shared" si="0"/>
        <v>0</v>
      </c>
      <c r="G8" s="1"/>
      <c r="H8" s="8"/>
    </row>
    <row r="9" spans="1:9" ht="16" x14ac:dyDescent="0.2">
      <c r="A9" s="14" t="s">
        <v>10</v>
      </c>
      <c r="B9" s="8">
        <f>0</f>
        <v>0</v>
      </c>
      <c r="E9" s="7"/>
      <c r="F9" s="2"/>
      <c r="G9" s="1"/>
      <c r="H9" s="8"/>
    </row>
    <row r="10" spans="1:9" ht="16" x14ac:dyDescent="0.2">
      <c r="A10" s="14" t="s">
        <v>9</v>
      </c>
      <c r="B10" s="8">
        <f>0</f>
        <v>0</v>
      </c>
      <c r="E10" s="7"/>
      <c r="F10" s="2"/>
      <c r="G10" s="1"/>
      <c r="H10" s="8"/>
    </row>
    <row r="11" spans="1:9" ht="16" x14ac:dyDescent="0.2">
      <c r="A11" s="14" t="s">
        <v>24</v>
      </c>
      <c r="B11" s="8">
        <f>0</f>
        <v>0</v>
      </c>
      <c r="E11" s="7"/>
      <c r="F11" s="2"/>
      <c r="G11" s="1"/>
      <c r="H11" s="8"/>
    </row>
    <row r="12" spans="1:9" ht="16" x14ac:dyDescent="0.2">
      <c r="A12" s="14" t="s">
        <v>42</v>
      </c>
      <c r="B12" s="8"/>
      <c r="E12" s="7"/>
      <c r="F12" s="2"/>
      <c r="G12" s="1"/>
      <c r="H12" s="8"/>
    </row>
    <row r="13" spans="1:9" ht="16" x14ac:dyDescent="0.2">
      <c r="A13" s="14"/>
      <c r="B13" s="8"/>
      <c r="E13" s="7"/>
      <c r="F13" s="2"/>
      <c r="G13" s="31"/>
      <c r="H13" s="33"/>
    </row>
    <row r="14" spans="1:9" ht="16" x14ac:dyDescent="0.2">
      <c r="A14" s="14"/>
      <c r="B14" s="8"/>
      <c r="E14" s="7"/>
      <c r="F14" s="18"/>
      <c r="G14" s="74" t="s">
        <v>6</v>
      </c>
      <c r="H14" s="75"/>
    </row>
    <row r="15" spans="1:9" ht="16" x14ac:dyDescent="0.2">
      <c r="A15" s="14"/>
      <c r="B15" s="8"/>
      <c r="E15" s="7"/>
      <c r="F15" s="18"/>
      <c r="G15" s="5" t="str">
        <f>A10</f>
        <v>הון מניות</v>
      </c>
      <c r="H15" s="8">
        <f>B10</f>
        <v>0</v>
      </c>
      <c r="I15" s="8"/>
    </row>
    <row r="16" spans="1:9" ht="16" x14ac:dyDescent="0.2">
      <c r="A16" s="14"/>
      <c r="B16" s="8"/>
      <c r="E16" s="7"/>
      <c r="F16" s="18"/>
      <c r="G16" s="60" t="str">
        <f>A19</f>
        <v>עודפים</v>
      </c>
      <c r="H16" s="57">
        <f>B19</f>
        <v>0</v>
      </c>
      <c r="I16" s="43"/>
    </row>
    <row r="17" spans="1:10" ht="16" x14ac:dyDescent="0.2">
      <c r="A17" s="14"/>
      <c r="B17" s="8"/>
      <c r="E17" s="7"/>
      <c r="F17" s="18"/>
      <c r="G17" s="27"/>
      <c r="H17" s="43"/>
    </row>
    <row r="18" spans="1:10" ht="16" x14ac:dyDescent="0.2">
      <c r="A18" s="14"/>
      <c r="B18" s="8"/>
      <c r="E18" s="7"/>
      <c r="F18" s="18"/>
      <c r="G18" s="27"/>
      <c r="H18" s="43"/>
    </row>
    <row r="19" spans="1:10" ht="17" thickBot="1" x14ac:dyDescent="0.25">
      <c r="A19" s="56" t="s">
        <v>12</v>
      </c>
      <c r="B19" s="57">
        <f>0</f>
        <v>0</v>
      </c>
      <c r="E19" s="9"/>
      <c r="F19" s="20"/>
      <c r="G19" s="44"/>
      <c r="H19" s="45"/>
    </row>
    <row r="20" spans="1:10" ht="18" thickTop="1" thickBot="1" x14ac:dyDescent="0.25">
      <c r="A20" s="58"/>
      <c r="B20" s="59"/>
      <c r="E20" s="10" t="s">
        <v>3</v>
      </c>
      <c r="F20" s="19">
        <f>SUM(F4:F19)</f>
        <v>0</v>
      </c>
      <c r="G20" s="17" t="s">
        <v>3</v>
      </c>
      <c r="H20" s="11">
        <f>SUM(H15:H19,H4:H13)</f>
        <v>0</v>
      </c>
      <c r="I20" s="29" t="s">
        <v>40</v>
      </c>
      <c r="J20" s="42">
        <f>F20+H20</f>
        <v>0</v>
      </c>
    </row>
    <row r="21" spans="1:10" ht="17" thickTop="1" x14ac:dyDescent="0.2">
      <c r="A21" s="16" t="s">
        <v>3</v>
      </c>
      <c r="B21" s="8">
        <f>SUM(B3:B20)</f>
        <v>0</v>
      </c>
    </row>
    <row r="22" spans="1:10" ht="17" thickBot="1" x14ac:dyDescent="0.25">
      <c r="A22" s="15"/>
      <c r="B22" s="11"/>
    </row>
    <row r="23" spans="1:10" ht="16" x14ac:dyDescent="0.2">
      <c r="A23" s="5"/>
      <c r="B23" s="2"/>
    </row>
    <row r="24" spans="1:10" ht="16" x14ac:dyDescent="0.2">
      <c r="A24" s="21" t="s">
        <v>7</v>
      </c>
      <c r="B24" s="2"/>
    </row>
    <row r="25" spans="1:10" ht="16" x14ac:dyDescent="0.2">
      <c r="A25" s="61" t="s">
        <v>28</v>
      </c>
      <c r="B25" s="2"/>
    </row>
    <row r="26" spans="1:10" ht="15.75" customHeight="1" x14ac:dyDescent="0.2">
      <c r="A26" s="76" t="s">
        <v>41</v>
      </c>
      <c r="B26" s="77"/>
      <c r="C26" s="78"/>
      <c r="E26" s="2"/>
    </row>
    <row r="27" spans="1:10" ht="16" x14ac:dyDescent="0.2">
      <c r="A27" s="1"/>
      <c r="B27" s="2"/>
      <c r="C27" s="22"/>
    </row>
    <row r="28" spans="1:10" ht="16" x14ac:dyDescent="0.2">
      <c r="A28" s="3"/>
      <c r="B28" s="4"/>
      <c r="C28" s="23"/>
      <c r="G28" s="36"/>
      <c r="H28" s="36"/>
    </row>
    <row r="29" spans="1:10" ht="16" x14ac:dyDescent="0.2">
      <c r="A29" s="5"/>
      <c r="B29" s="2"/>
    </row>
    <row r="30" spans="1:10" x14ac:dyDescent="0.2">
      <c r="A30" s="76" t="s">
        <v>13</v>
      </c>
      <c r="B30" s="77"/>
      <c r="C30" s="78"/>
    </row>
    <row r="31" spans="1:10" ht="16" x14ac:dyDescent="0.2">
      <c r="A31" s="1"/>
      <c r="B31" s="2"/>
      <c r="C31" s="22"/>
    </row>
    <row r="32" spans="1:10" ht="16" x14ac:dyDescent="0.2">
      <c r="A32" s="3"/>
      <c r="B32" s="4"/>
      <c r="C32" s="23"/>
    </row>
    <row r="33" spans="1:5" ht="16" x14ac:dyDescent="0.2">
      <c r="A33" s="5"/>
      <c r="B33" s="2"/>
    </row>
    <row r="34" spans="1:5" x14ac:dyDescent="0.2">
      <c r="A34" s="76" t="s">
        <v>14</v>
      </c>
      <c r="B34" s="77"/>
      <c r="C34" s="78"/>
    </row>
    <row r="35" spans="1:5" ht="16" x14ac:dyDescent="0.2">
      <c r="A35" s="24"/>
      <c r="B35" s="34"/>
      <c r="C35" s="25"/>
    </row>
    <row r="36" spans="1:5" ht="16" x14ac:dyDescent="0.2">
      <c r="A36" s="26"/>
      <c r="B36" s="2"/>
      <c r="C36" s="22"/>
    </row>
    <row r="37" spans="1:5" ht="16" x14ac:dyDescent="0.2">
      <c r="A37" s="3"/>
      <c r="B37" s="4"/>
      <c r="C37" s="23"/>
    </row>
    <row r="38" spans="1:5" ht="16" x14ac:dyDescent="0.2">
      <c r="A38" s="5"/>
      <c r="B38" s="2"/>
    </row>
    <row r="39" spans="1:5" ht="32.25" customHeight="1" x14ac:dyDescent="0.2">
      <c r="A39" s="79" t="s">
        <v>43</v>
      </c>
      <c r="B39" s="80"/>
      <c r="C39" s="81"/>
    </row>
    <row r="40" spans="1:5" ht="16" x14ac:dyDescent="0.2">
      <c r="A40" s="24"/>
      <c r="B40" s="2"/>
      <c r="C40" s="25"/>
    </row>
    <row r="41" spans="1:5" ht="16" x14ac:dyDescent="0.2">
      <c r="A41" s="26"/>
      <c r="B41" s="2"/>
      <c r="C41" s="22"/>
    </row>
    <row r="42" spans="1:5" ht="16" x14ac:dyDescent="0.2">
      <c r="A42" s="3"/>
      <c r="B42" s="4"/>
      <c r="C42" s="23"/>
      <c r="E42" s="37"/>
    </row>
    <row r="43" spans="1:5" ht="16" x14ac:dyDescent="0.2">
      <c r="A43" s="6"/>
      <c r="B43" s="2"/>
    </row>
    <row r="44" spans="1:5" x14ac:dyDescent="0.2">
      <c r="A44" s="76" t="s">
        <v>15</v>
      </c>
      <c r="B44" s="77"/>
      <c r="C44" s="78"/>
    </row>
    <row r="45" spans="1:5" ht="16" x14ac:dyDescent="0.2">
      <c r="A45" s="24"/>
      <c r="B45" s="2"/>
      <c r="C45" s="25"/>
    </row>
    <row r="46" spans="1:5" ht="16" x14ac:dyDescent="0.2">
      <c r="A46" s="26"/>
      <c r="B46" s="2"/>
      <c r="C46" s="22"/>
    </row>
    <row r="47" spans="1:5" ht="16" x14ac:dyDescent="0.2">
      <c r="A47" s="3"/>
      <c r="B47" s="4"/>
      <c r="C47" s="23"/>
    </row>
    <row r="48" spans="1:5" ht="16" x14ac:dyDescent="0.2">
      <c r="A48" s="6"/>
      <c r="B48" s="2"/>
    </row>
    <row r="49" spans="1:9" x14ac:dyDescent="0.2">
      <c r="A49" s="76" t="s">
        <v>17</v>
      </c>
      <c r="B49" s="77"/>
      <c r="C49" s="78"/>
    </row>
    <row r="50" spans="1:9" ht="16" x14ac:dyDescent="0.2">
      <c r="A50" s="1"/>
      <c r="B50" s="2"/>
      <c r="C50" s="35"/>
      <c r="D50" s="29"/>
    </row>
    <row r="51" spans="1:9" ht="16" x14ac:dyDescent="0.2">
      <c r="A51" s="3"/>
      <c r="B51" s="4"/>
      <c r="C51" s="23"/>
    </row>
    <row r="52" spans="1:9" ht="16" x14ac:dyDescent="0.2">
      <c r="A52" s="6"/>
      <c r="B52" s="2"/>
      <c r="E52" s="83"/>
      <c r="F52" s="83"/>
      <c r="G52" s="83"/>
    </row>
    <row r="53" spans="1:9" ht="16" x14ac:dyDescent="0.2">
      <c r="A53" s="61" t="s">
        <v>29</v>
      </c>
      <c r="B53" s="2"/>
    </row>
    <row r="54" spans="1:9" x14ac:dyDescent="0.2">
      <c r="A54" s="79" t="s">
        <v>18</v>
      </c>
      <c r="B54" s="80"/>
      <c r="C54" s="81"/>
      <c r="G54" s="46"/>
      <c r="H54" s="46"/>
    </row>
    <row r="55" spans="1:9" ht="16" x14ac:dyDescent="0.2">
      <c r="A55" s="30"/>
      <c r="B55" s="38"/>
      <c r="C55" s="39"/>
      <c r="G55" s="46"/>
      <c r="H55" s="46"/>
      <c r="I55" s="47"/>
    </row>
    <row r="56" spans="1:9" ht="16" x14ac:dyDescent="0.2">
      <c r="A56" s="26"/>
      <c r="B56" s="2"/>
      <c r="C56" s="35"/>
      <c r="D56" s="29"/>
      <c r="G56" s="62" t="s">
        <v>37</v>
      </c>
      <c r="H56" s="63"/>
      <c r="I56" s="51"/>
    </row>
    <row r="57" spans="1:9" ht="16" x14ac:dyDescent="0.2">
      <c r="A57" s="3"/>
      <c r="B57" s="4"/>
      <c r="C57" s="23"/>
      <c r="D57" s="29"/>
      <c r="G57" s="64"/>
      <c r="H57" s="47"/>
      <c r="I57" s="52"/>
    </row>
    <row r="58" spans="1:9" ht="16" x14ac:dyDescent="0.2">
      <c r="A58" s="5"/>
      <c r="B58" s="2"/>
      <c r="G58" s="64" t="s">
        <v>25</v>
      </c>
      <c r="H58" s="48">
        <f>B76</f>
        <v>0</v>
      </c>
      <c r="I58" s="53"/>
    </row>
    <row r="59" spans="1:9" ht="16.5" customHeight="1" x14ac:dyDescent="0.2">
      <c r="A59" s="76" t="s">
        <v>21</v>
      </c>
      <c r="B59" s="77"/>
      <c r="C59" s="78"/>
      <c r="G59" s="64" t="s">
        <v>22</v>
      </c>
      <c r="H59" s="48">
        <f>-B78</f>
        <v>0</v>
      </c>
      <c r="I59" s="53"/>
    </row>
    <row r="60" spans="1:9" ht="16" x14ac:dyDescent="0.2">
      <c r="A60" s="24"/>
      <c r="B60" s="34"/>
      <c r="C60" s="25"/>
      <c r="G60" s="65" t="s">
        <v>36</v>
      </c>
      <c r="H60" s="49">
        <f>SUM(H58:H59)</f>
        <v>0</v>
      </c>
      <c r="I60" s="54"/>
    </row>
    <row r="61" spans="1:9" ht="16" x14ac:dyDescent="0.2">
      <c r="A61" s="26"/>
      <c r="B61" s="2"/>
      <c r="C61" s="22"/>
      <c r="G61" s="64"/>
      <c r="H61" s="48"/>
      <c r="I61" s="52"/>
    </row>
    <row r="62" spans="1:9" ht="16" x14ac:dyDescent="0.2">
      <c r="A62" s="3"/>
      <c r="B62" s="4"/>
      <c r="C62" s="23"/>
      <c r="G62" s="64" t="s">
        <v>30</v>
      </c>
      <c r="H62" s="48">
        <f>-B60</f>
        <v>0</v>
      </c>
      <c r="I62" s="52"/>
    </row>
    <row r="63" spans="1:9" ht="16" x14ac:dyDescent="0.2">
      <c r="A63" s="5"/>
      <c r="B63" s="2"/>
      <c r="G63" s="64" t="s">
        <v>34</v>
      </c>
      <c r="H63" s="48">
        <f>B57</f>
        <v>0</v>
      </c>
      <c r="I63" s="52"/>
    </row>
    <row r="64" spans="1:9" ht="16" hidden="1" x14ac:dyDescent="0.2">
      <c r="A64" s="79"/>
      <c r="B64" s="80"/>
      <c r="C64" s="81"/>
      <c r="G64" s="64"/>
      <c r="H64" s="48"/>
      <c r="I64" s="52"/>
    </row>
    <row r="65" spans="1:9" ht="16" hidden="1" x14ac:dyDescent="0.2">
      <c r="A65" s="1"/>
      <c r="B65" s="2"/>
      <c r="C65" s="22"/>
      <c r="G65" s="64"/>
      <c r="H65" s="48"/>
      <c r="I65" s="52"/>
    </row>
    <row r="66" spans="1:9" ht="16" hidden="1" x14ac:dyDescent="0.2">
      <c r="A66" s="26"/>
      <c r="B66" s="2"/>
      <c r="C66" s="22"/>
      <c r="G66" s="64"/>
      <c r="H66" s="48"/>
      <c r="I66" s="52"/>
    </row>
    <row r="67" spans="1:9" ht="16" hidden="1" x14ac:dyDescent="0.2">
      <c r="A67" s="3"/>
      <c r="B67" s="4"/>
      <c r="C67" s="23"/>
      <c r="G67" s="64"/>
      <c r="H67" s="48"/>
      <c r="I67" s="52"/>
    </row>
    <row r="68" spans="1:9" ht="16" x14ac:dyDescent="0.2">
      <c r="G68" s="65" t="s">
        <v>35</v>
      </c>
      <c r="H68" s="49">
        <f>H60+H62+H63</f>
        <v>0</v>
      </c>
      <c r="I68" s="52"/>
    </row>
    <row r="69" spans="1:9" ht="16" customHeight="1" x14ac:dyDescent="0.2">
      <c r="A69" s="79" t="s">
        <v>19</v>
      </c>
      <c r="B69" s="80"/>
      <c r="C69" s="81"/>
      <c r="G69" s="64"/>
      <c r="H69" s="48"/>
      <c r="I69" s="52"/>
    </row>
    <row r="70" spans="1:9" ht="16" x14ac:dyDescent="0.2">
      <c r="A70" s="1"/>
      <c r="B70" s="34"/>
      <c r="C70" s="25"/>
      <c r="G70" s="64" t="s">
        <v>38</v>
      </c>
      <c r="H70" s="48">
        <f>-B70</f>
        <v>0</v>
      </c>
      <c r="I70" s="52"/>
    </row>
    <row r="71" spans="1:9" ht="16" x14ac:dyDescent="0.2">
      <c r="A71" s="26"/>
      <c r="B71" s="2"/>
      <c r="C71" s="25"/>
      <c r="G71" s="65" t="s">
        <v>33</v>
      </c>
      <c r="H71" s="49">
        <f>H68+H70</f>
        <v>0</v>
      </c>
      <c r="I71" s="52"/>
    </row>
    <row r="72" spans="1:9" ht="16" x14ac:dyDescent="0.2">
      <c r="A72" s="3"/>
      <c r="B72" s="4"/>
      <c r="C72" s="23"/>
      <c r="G72" s="64"/>
      <c r="H72" s="48"/>
      <c r="I72" s="52"/>
    </row>
    <row r="73" spans="1:9" ht="16" x14ac:dyDescent="0.2">
      <c r="G73" s="64" t="s">
        <v>31</v>
      </c>
      <c r="H73" s="48">
        <v>0</v>
      </c>
      <c r="I73" s="52"/>
    </row>
    <row r="74" spans="1:9" ht="16" x14ac:dyDescent="0.2">
      <c r="A74" s="79" t="s">
        <v>20</v>
      </c>
      <c r="B74" s="80"/>
      <c r="C74" s="81"/>
      <c r="G74" s="65" t="s">
        <v>32</v>
      </c>
      <c r="H74" s="49">
        <f>H71+H73</f>
        <v>0</v>
      </c>
      <c r="I74" s="52"/>
    </row>
    <row r="75" spans="1:9" ht="16" x14ac:dyDescent="0.2">
      <c r="A75" s="30"/>
      <c r="B75" s="38"/>
      <c r="C75" s="39"/>
      <c r="G75" s="66"/>
      <c r="H75" s="67"/>
      <c r="I75" s="55"/>
    </row>
    <row r="76" spans="1:9" ht="16" x14ac:dyDescent="0.2">
      <c r="A76" s="26"/>
      <c r="B76" s="2"/>
      <c r="C76" s="22"/>
      <c r="G76" s="46"/>
      <c r="H76" s="46"/>
      <c r="I76" s="47"/>
    </row>
    <row r="77" spans="1:9" ht="16" x14ac:dyDescent="0.2">
      <c r="A77" s="26"/>
      <c r="B77" s="2"/>
      <c r="C77" s="22"/>
      <c r="G77" s="47"/>
      <c r="H77" s="47"/>
      <c r="I77" s="47"/>
    </row>
    <row r="78" spans="1:9" ht="16" x14ac:dyDescent="0.2">
      <c r="A78" s="24"/>
      <c r="B78" s="2"/>
      <c r="C78" s="22"/>
    </row>
    <row r="79" spans="1:9" ht="16" x14ac:dyDescent="0.2">
      <c r="A79" s="3"/>
      <c r="B79" s="4"/>
      <c r="C79" s="23"/>
    </row>
    <row r="81" spans="1:2" ht="16" x14ac:dyDescent="0.2">
      <c r="B81" s="2"/>
    </row>
    <row r="83" spans="1:2" x14ac:dyDescent="0.2">
      <c r="A83" s="40"/>
    </row>
    <row r="84" spans="1:2" x14ac:dyDescent="0.2">
      <c r="A84" s="37"/>
    </row>
    <row r="85" spans="1:2" x14ac:dyDescent="0.2">
      <c r="A85" s="41"/>
    </row>
    <row r="86" spans="1:2" x14ac:dyDescent="0.2">
      <c r="A86" s="37"/>
    </row>
  </sheetData>
  <mergeCells count="16">
    <mergeCell ref="A74:C74"/>
    <mergeCell ref="E2:H2"/>
    <mergeCell ref="A54:C54"/>
    <mergeCell ref="A59:C59"/>
    <mergeCell ref="A64:C64"/>
    <mergeCell ref="A49:C49"/>
    <mergeCell ref="A69:C69"/>
    <mergeCell ref="A44:C44"/>
    <mergeCell ref="A30:C30"/>
    <mergeCell ref="A34:C34"/>
    <mergeCell ref="A39:C39"/>
    <mergeCell ref="A1:B1"/>
    <mergeCell ref="E3:F3"/>
    <mergeCell ref="G3:H3"/>
    <mergeCell ref="G14:H14"/>
    <mergeCell ref="A26:C2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מקור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דימה פנטליס</dc:creator>
  <cp:lastModifiedBy>Dima Fantalis</cp:lastModifiedBy>
  <dcterms:created xsi:type="dcterms:W3CDTF">2015-06-05T18:19:34Z</dcterms:created>
  <dcterms:modified xsi:type="dcterms:W3CDTF">2026-09-06T14:54:26Z</dcterms:modified>
</cp:coreProperties>
</file>