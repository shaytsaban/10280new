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שאלה 1 פעולות מאזניות" sheetId="1" state="visible" r:id="rId3"/>
    <sheet name="שאלה 2 קנייה ומכירה" sheetId="2" state="visible" r:id="rId4"/>
    <sheet name="שאלה 3 חברת שירותים" sheetId="3" state="visible" r:id="rId5"/>
    <sheet name="שאלה 4 בסיס צבירה" sheetId="4" state="visible" r:id="rId6"/>
    <sheet name="שאלות 5-12 רב-ברירה" sheetId="5" state="visible" r:id="rId7"/>
    <sheet name="שאלה 13 סיווג יתרות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<sst xmlns="http://schemas.openxmlformats.org/spreadsheetml/2006/main" count="421" uniqueCount="188">
  <si>
    <t xml:space="preserve">נתונים:</t>
  </si>
  <si>
    <t xml:space="preserve">השקעת הבעלים כנגד מניות</t>
  </si>
  <si>
    <t xml:space="preserve">נתון</t>
  </si>
  <si>
    <t xml:space="preserve">הלוואה מהבנק</t>
  </si>
  <si>
    <t xml:space="preserve">עלות מכונת הדפוס (ציוד)</t>
  </si>
  <si>
    <t xml:space="preserve">עלות מלאי נייר ודיו</t>
  </si>
  <si>
    <t xml:space="preserve">סכום ששולם לספק בגין המלאי</t>
  </si>
  <si>
    <t xml:space="preserve">עלות רכב החלוקה</t>
  </si>
  <si>
    <t xml:space="preserve">סכום ששולם בגין הרכב</t>
  </si>
  <si>
    <t xml:space="preserve">החזר קרן ההלוואה</t>
  </si>
  <si>
    <t xml:space="preserve">נדרש א – פקודות יומן:</t>
  </si>
  <si>
    <t xml:space="preserve">פעולה 1 – השקעת הבעלים</t>
  </si>
  <si>
    <t xml:space="preserve">ח. מזומן</t>
  </si>
  <si>
    <t xml:space="preserve">ז. הון מניות</t>
  </si>
  <si>
    <t xml:space="preserve">פעולה 2 – קבלת הלוואה</t>
  </si>
  <si>
    <t xml:space="preserve">ז. הלוואה מבנק</t>
  </si>
  <si>
    <t xml:space="preserve">פעולה 3 – רכישת ציוד במזומן</t>
  </si>
  <si>
    <t xml:space="preserve">ח. ציוד</t>
  </si>
  <si>
    <t xml:space="preserve">ז. מזומן</t>
  </si>
  <si>
    <t xml:space="preserve">פעולה 4 – רכישת מלאי בתשלום חלקי</t>
  </si>
  <si>
    <t xml:space="preserve">ח. מלאי</t>
  </si>
  <si>
    <t xml:space="preserve">ז. ספקים</t>
  </si>
  <si>
    <t xml:space="preserve">p.n.</t>
  </si>
  <si>
    <t xml:space="preserve">פעולה 5 – רכישת רכב בתשלום חלקי</t>
  </si>
  <si>
    <t xml:space="preserve">ח. רכב</t>
  </si>
  <si>
    <t xml:space="preserve">ז. זכאים אחרים</t>
  </si>
  <si>
    <t xml:space="preserve">p.n. (חוב שאינו לספק המלאי)</t>
  </si>
  <si>
    <t xml:space="preserve">פעולה 6 – תשלום החוב לספק</t>
  </si>
  <si>
    <t xml:space="preserve">ח. ספקים</t>
  </si>
  <si>
    <t xml:space="preserve">גריעה</t>
  </si>
  <si>
    <t xml:space="preserve">פעולה 7 – החזר חלק מההלוואה</t>
  </si>
  <si>
    <t xml:space="preserve">ח. הלוואה מבנק</t>
  </si>
  <si>
    <t xml:space="preserve">נדרש ב – הדוח על המצב הכספי:</t>
  </si>
  <si>
    <t xml:space="preserve">יתרות במערכת הנהלת החשבונות (חובה = +, זכות = −):</t>
  </si>
  <si>
    <t xml:space="preserve">מזומן</t>
  </si>
  <si>
    <t xml:space="preserve">מלאי</t>
  </si>
  <si>
    <t xml:space="preserve">ציוד</t>
  </si>
  <si>
    <t xml:space="preserve">רכב</t>
  </si>
  <si>
    <t xml:space="preserve">ספקים</t>
  </si>
  <si>
    <t xml:space="preserve">זכאים אחרים</t>
  </si>
  <si>
    <t xml:space="preserve">הלוואה מבנק</t>
  </si>
  <si>
    <t xml:space="preserve">הון מניות</t>
  </si>
  <si>
    <t xml:space="preserve">סה״כ (בדיקה: חייב להתאפס)</t>
  </si>
  <si>
    <t xml:space="preserve">הדוח על המצב הכספי ליום 31.1.2026:</t>
  </si>
  <si>
    <t xml:space="preserve">נדרש ב</t>
  </si>
  <si>
    <t xml:space="preserve">נכסים:</t>
  </si>
  <si>
    <t xml:space="preserve">סה״כ נכסים</t>
  </si>
  <si>
    <t xml:space="preserve">התחייבויות:</t>
  </si>
  <si>
    <t xml:space="preserve">הון עצמי:</t>
  </si>
  <si>
    <t xml:space="preserve">סה״כ התחייבויות והון עצמי</t>
  </si>
  <si>
    <t xml:space="preserve">בדיקה: סה״כ נכסים פחות סה״כ התחייבויות והון עצמי</t>
  </si>
  <si>
    <t xml:space="preserve">הערה: ספקים מתאפסים בפעולה 6 ולכן אינם מופיעים במאזן.</t>
  </si>
  <si>
    <t xml:space="preserve">נדרש ג:</t>
  </si>
  <si>
    <t xml:space="preserve">ההון העצמי ליום 31.1.2026</t>
  </si>
  <si>
    <t xml:space="preserve">ההון העצמי שווה להשקעת הבעלים ולא השתנה מאז פעולה 1, משום שכל הפעולות האחרות הן פעולות מאזניות:</t>
  </si>
  <si>
    <t xml:space="preserve">קבלת הלוואה מגדילה נכס והתחייבות באותו סכום; רכישת ציוד, מלאי ורכב ממירה נכס בנכס (או נכס בהתחייבות);</t>
  </si>
  <si>
    <t xml:space="preserve">תשלום חוב והחזר הלוואה מקטינים נכס והתחייבות באותו סכום. אף פעולה לא הגדילה או הקטינה את ההפרש בין הנכסים להתחייבויות,</t>
  </si>
  <si>
    <t xml:space="preserve">כלומר לא היו חדשות טובות או רעות לבעלים – ולכן לא נרשמה תנועה בהון העצמי.</t>
  </si>
  <si>
    <t xml:space="preserve">עלות המלאי שנרכש (באשראי ספקים)</t>
  </si>
  <si>
    <t xml:space="preserve">תמורת המכירה בחנות (פעולה 3)</t>
  </si>
  <si>
    <t xml:space="preserve">עלות המלאי שנמכר בחנות (מחצית)</t>
  </si>
  <si>
    <t xml:space="preserve">מחצית מהמלאי</t>
  </si>
  <si>
    <t xml:space="preserve">תמורת המכירה למסעדה (פעולה 4)</t>
  </si>
  <si>
    <t xml:space="preserve">עלות המלאי שנמכר למסעדה (רבע)</t>
  </si>
  <si>
    <t xml:space="preserve">רבע מהמלאי</t>
  </si>
  <si>
    <t xml:space="preserve">שכר עובדים לחודש פברואר</t>
  </si>
  <si>
    <t xml:space="preserve">חשמל לחודש פברואר</t>
  </si>
  <si>
    <t xml:space="preserve">תשלום לספק</t>
  </si>
  <si>
    <t xml:space="preserve">גבייה מהמסעדה</t>
  </si>
  <si>
    <t xml:space="preserve">פעולה 2 – רכישת מלאי באשראי</t>
  </si>
  <si>
    <t xml:space="preserve">פעולה 3 – מכירה בחנות במזומן (רישום ברוטו: הכנסה ובנפרד עלות המכר)</t>
  </si>
  <si>
    <t xml:space="preserve">ז. הכנסות ממכירות</t>
  </si>
  <si>
    <t xml:space="preserve">ח. עלות המכר</t>
  </si>
  <si>
    <t xml:space="preserve">ז. מלאי</t>
  </si>
  <si>
    <t xml:space="preserve">פעולה 4 – מכירה למסעדה באשראי</t>
  </si>
  <si>
    <t xml:space="preserve">ח. לקוחות</t>
  </si>
  <si>
    <t xml:space="preserve">פעולה 5 – תשלום שכר בגין פברואר</t>
  </si>
  <si>
    <t xml:space="preserve">ח. הוצאות שכר</t>
  </si>
  <si>
    <t xml:space="preserve">פעולה 6 – תשלום חשמל בגין פברואר</t>
  </si>
  <si>
    <t xml:space="preserve">ח. הוצאות חשמל</t>
  </si>
  <si>
    <t xml:space="preserve">פעולה 7 – תשלום לספק</t>
  </si>
  <si>
    <t xml:space="preserve">פעולה 8 – גבייה מהמסעדה</t>
  </si>
  <si>
    <t xml:space="preserve">ז. לקוחות</t>
  </si>
  <si>
    <t xml:space="preserve">לקוחות</t>
  </si>
  <si>
    <t xml:space="preserve">הכנסות ממכירות</t>
  </si>
  <si>
    <t xml:space="preserve">עלות המכר</t>
  </si>
  <si>
    <t xml:space="preserve">הוצאות שכר</t>
  </si>
  <si>
    <t xml:space="preserve">הוצאות חשמל</t>
  </si>
  <si>
    <t xml:space="preserve">נדרש ב – הדוח על הרווח או ההפסד:</t>
  </si>
  <si>
    <t xml:space="preserve">הדוח על הרווח או ההפסד לחודש פברואר 2026:</t>
  </si>
  <si>
    <t xml:space="preserve">רווח גולמי</t>
  </si>
  <si>
    <t xml:space="preserve">רווח (הפסד) לתקופה</t>
  </si>
  <si>
    <t xml:space="preserve">נדרש ג – הדוח על המצב הכספי:</t>
  </si>
  <si>
    <t xml:space="preserve">הדוח על המצב הכספי ליום 28.2.2026:</t>
  </si>
  <si>
    <t xml:space="preserve">נדרש ג</t>
  </si>
  <si>
    <t xml:space="preserve">עודפים (הרווח לתקופה)</t>
  </si>
  <si>
    <t xml:space="preserve">הערה: העודפים שווים לרווח החודש, משום שהחברה הוקמה בתחילת החודש. הרווח מנוקז אל העודפים ומגדיל את ההון העצמי.</t>
  </si>
  <si>
    <t xml:space="preserve">עלות ציוד ומחשבים</t>
  </si>
  <si>
    <t xml:space="preserve">סכום ששולם בגין הציוד</t>
  </si>
  <si>
    <t xml:space="preserve">שירותי התקנה שנגבו במזומן</t>
  </si>
  <si>
    <t xml:space="preserve">שירותי תחזוקה באשראי</t>
  </si>
  <si>
    <t xml:space="preserve">שכר טכנאים לחודש מרץ</t>
  </si>
  <si>
    <t xml:space="preserve">ארנונה לחודש מרץ</t>
  </si>
  <si>
    <t xml:space="preserve">פעולה 2 – רכישת ציוד בתשלום חלקי</t>
  </si>
  <si>
    <t xml:space="preserve">p.n. (חוב לספק ציוד, לא לספק שירותים מרכזי)</t>
  </si>
  <si>
    <t xml:space="preserve">פעולה 3 – שירותים שנגבו במזומן</t>
  </si>
  <si>
    <t xml:space="preserve">ז. הכנסות משירותים</t>
  </si>
  <si>
    <t xml:space="preserve">פעולה 4 – שירותים באשראי</t>
  </si>
  <si>
    <t xml:space="preserve">השירות ניתן – ההכנסה הוכרה, גם אם טרם שולם</t>
  </si>
  <si>
    <t xml:space="preserve">פעולה 5 – תשלום שכר בגין מרץ</t>
  </si>
  <si>
    <t xml:space="preserve">פעולה 6 – תשלום ארנונה בגין מרץ</t>
  </si>
  <si>
    <t xml:space="preserve">ח. הוצאות ארנונה</t>
  </si>
  <si>
    <t xml:space="preserve">פעולה 7 – הודעה על כוונה להזמין שירותים</t>
  </si>
  <si>
    <t xml:space="preserve">אין רישום. עדיין לא התרחש דבר: החברה לא סיפקה שירות, לא קיבלה משאבים ואין לה זכות לקבל כסף.</t>
  </si>
  <si>
    <t xml:space="preserve">ציפייה – גם מבוססת – שלקוח יזמין שירותים בעתיד אינה נכס, ולכן אין גם הכנסה. הרישום ייעשה רק כשהשירות יינתן בפועל.</t>
  </si>
  <si>
    <t xml:space="preserve">הכנסות משירותים</t>
  </si>
  <si>
    <t xml:space="preserve">הוצאות ארנונה</t>
  </si>
  <si>
    <t xml:space="preserve">הדוח על הרווח או ההפסד לחודש מרץ 2026:</t>
  </si>
  <si>
    <t xml:space="preserve">הדוח על המצב הכספי ליום 31.3.2026:</t>
  </si>
  <si>
    <t xml:space="preserve">עלות המשאית</t>
  </si>
  <si>
    <t xml:space="preserve">שנות שימוש במשאית</t>
  </si>
  <si>
    <t xml:space="preserve">הכנסות מהובלות שנגבו במזומן</t>
  </si>
  <si>
    <t xml:space="preserve">שכר חודשי של הנהג</t>
  </si>
  <si>
    <t xml:space="preserve">חודשי שכר ששולמו בשנה</t>
  </si>
  <si>
    <t xml:space="preserve">חודשים שבהם הנהג עבד</t>
  </si>
  <si>
    <t xml:space="preserve">פעולה 2 – רכישת המשאית (נכס, לא הוצאה)</t>
  </si>
  <si>
    <t xml:space="preserve">ח. משאית</t>
  </si>
  <si>
    <t xml:space="preserve">ההטבות הכלכליות עדיין לפני החברה</t>
  </si>
  <si>
    <t xml:space="preserve">פעולה 3 – הובלות שבוצעו ונגבו</t>
  </si>
  <si>
    <t xml:space="preserve">ז. הכנסות מהובלות</t>
  </si>
  <si>
    <t xml:space="preserve">פעולה 4 – שכר הנהג (הוצאה לפי חודשי עבודה, לא לפי תשלום)</t>
  </si>
  <si>
    <t xml:space="preserve">הנהג עבד 12 חודשים</t>
  </si>
  <si>
    <t xml:space="preserve">שולמו 11 חודשים</t>
  </si>
  <si>
    <t xml:space="preserve">p.n. – שכר דצמבר לשלם</t>
  </si>
  <si>
    <t xml:space="preserve">31.12.2026 – הכרה בשחיקת המשאית לשנה (חלק אחד מתוך ארבעה)</t>
  </si>
  <si>
    <t xml:space="preserve">ח. הוצאות פחת</t>
  </si>
  <si>
    <t xml:space="preserve">ז. משאית</t>
  </si>
  <si>
    <t xml:space="preserve">משאית</t>
  </si>
  <si>
    <t xml:space="preserve">הכנסות מהובלות</t>
  </si>
  <si>
    <t xml:space="preserve">הוצאות פחת</t>
  </si>
  <si>
    <t xml:space="preserve">נדרש ב – הרווח לשנת 2026 (בסיס צבירה):</t>
  </si>
  <si>
    <t xml:space="preserve">הדוח על הרווח או ההפסד לשנת 2026:</t>
  </si>
  <si>
    <t xml:space="preserve">נדרש ג – בסיס מזומן:</t>
  </si>
  <si>
    <t xml:space="preserve">רווח (הפסד) לפי בסיס מזומן:</t>
  </si>
  <si>
    <t xml:space="preserve">תקבולים מלקוחות</t>
  </si>
  <si>
    <t xml:space="preserve">תשלום עבור המשאית</t>
  </si>
  <si>
    <t xml:space="preserve">שכר ששולם בפועל</t>
  </si>
  <si>
    <t xml:space="preserve">הפסד לפי בסיס מזומן</t>
  </si>
  <si>
    <t xml:space="preserve">הדיווח על בסיס מזומן מציג הפסד כבד, אף שהחברה לא איבדה את המשאית – היא תמשיך לשרת אותה עוד שלוש שנים.</t>
  </si>
  <si>
    <t xml:space="preserve">מנגד, הוא מחסיר רק 11 חודשי שכר, אף שהנהג עבד 12 חודשים. בשנים הבאות התמונה תתעוות בכיוון ההפוך:</t>
  </si>
  <si>
    <t xml:space="preserve">ההכנסות מהמשאית יוצגו בלי עלות כנגדן, כאילו התקבלה במתנה. בסיס הצבירה מקביל לכל שנה את ההוצאות</t>
  </si>
  <si>
    <t xml:space="preserve">ששימשו להפקת הכנסותיה – רבע מעלות המשאית ושכר של 12 חודשים – ולכן מציג את ביצועי השנה כפי שהם.</t>
  </si>
  <si>
    <t xml:space="preserve">נדרש ד – הדוח על המצב הכספי:</t>
  </si>
  <si>
    <t xml:space="preserve">הדוח על המצב הכספי ליום 31.12.2026:</t>
  </si>
  <si>
    <t xml:space="preserve">נדרש ד</t>
  </si>
  <si>
    <t xml:space="preserve">שאלה</t>
  </si>
  <si>
    <t xml:space="preserve">תשובה</t>
  </si>
  <si>
    <t xml:space="preserve">הסבר</t>
  </si>
  <si>
    <t xml:space="preserve">ג</t>
  </si>
  <si>
    <t xml:space="preserve">קבלת הלוואה מגדילה נכס (מזומן) והתחייבות באותו סכום – פעולה מאזנית. שאר הפעולות הן תוצאתיות: רווח או הוצאה משנים את העודפים.</t>
  </si>
  <si>
    <t xml:space="preserve">ב</t>
  </si>
  <si>
    <t xml:space="preserve">ההכנסה כבר הוכרה בחודש הקודם (ח. לקוחות / ז. הכנסות). בגבייה המזומן גדל והחוב של הלקוח נגרע – אין הכנסה נוספת.</t>
  </si>
  <si>
    <t xml:space="preserve">א</t>
  </si>
  <si>
    <t xml:space="preserve">הציוד נרשם בחובה במלוא עלותו (90,000), המזומן בזכות בסכום ששולם (60,000), וההפרש (30,000) הוא מספר מאזן – התחייבות בזכות.</t>
  </si>
  <si>
    <t xml:space="preserve">הכנסה היא הסבר לגידול בעודפים; העודפים הם חלק מההון העצמי, שמבטא את מה שהחברה חבה לבעליה ונרשם בסימן שלילי. לכן גידול בו נרשם בזכות.</t>
  </si>
  <si>
    <t xml:space="preserve">רישום ברוטו: מלוא התמורה כהכנסה ובנפרד עלות המלאי שנגרע כעלות המכר. תשובה ב מגיעה לאותה יתרת עודפים, אך מסתירה את היקף המכירות.</t>
  </si>
  <si>
    <t xml:space="preserve">ד</t>
  </si>
  <si>
    <t xml:space="preserve">כל פקודת יומן מאוזנת (חובה = זכות), ולכן סכום כל היתרות במערכת הוא תמיד אפס. סכום שונה מאפס מעיד על טעות.</t>
  </si>
  <si>
    <t xml:space="preserve">100,000 / 5 = 20,000. בבסיס צבירה עלות המכונה נצברת כנכס ונפרסת כהוצאה על פני שנות השימוש. 100,000 הוא התשובה של בסיס מזומן.</t>
  </si>
  <si>
    <t xml:space="preserve">השקעת בעלים מגדילה את ההון העצמי (הון מניות), אך לפי ההגדרה היא אינה הכנסה – הכנסה נובעת מביצועי החברה, לא מפעולה מול הבעלים.</t>
  </si>
  <si>
    <t xml:space="preserve">יתרה</t>
  </si>
  <si>
    <t xml:space="preserve">סיווג</t>
  </si>
  <si>
    <t xml:space="preserve">גדלה בחובה / בזכות</t>
  </si>
  <si>
    <t xml:space="preserve">נכס</t>
  </si>
  <si>
    <t xml:space="preserve">חובה</t>
  </si>
  <si>
    <t xml:space="preserve">הכנסה</t>
  </si>
  <si>
    <t xml:space="preserve">זכות</t>
  </si>
  <si>
    <t xml:space="preserve">התחייבות</t>
  </si>
  <si>
    <t xml:space="preserve">הוצאה</t>
  </si>
  <si>
    <t xml:space="preserve">הון עצמי</t>
  </si>
  <si>
    <t xml:space="preserve">עודפים</t>
  </si>
  <si>
    <t xml:space="preserve">השקעה בניירות ערך</t>
  </si>
  <si>
    <t xml:space="preserve">כללי עזר:</t>
  </si>
  <si>
    <t xml:space="preserve">נכסים גדלים בחובה (+).</t>
  </si>
  <si>
    <t xml:space="preserve">התחייבויות והון עצמי גדלים בזכות (−).</t>
  </si>
  <si>
    <t xml:space="preserve">הכנסה מגדילה את העודפים (הון עצמי), ולכן גדלה בזכות; הוצאה מקטינה אותם, ולכן גדלה בחובה.</t>
  </si>
  <si>
    <t xml:space="preserve">לקוחות – החוב הפתוח של לקוחות שכבר קיבלו שירות או סחורה (נכס); ספקים – החוב שלנו לספקי המלאי (התחייבות).</t>
  </si>
  <si>
    <t xml:space="preserve">זכאים אחרים – חובות צדדיים (שכר לשלם, חוב בגין רכישת רכוש וכדומה).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</si>
</sst>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;\(#,##0\)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u val="single"/>
      <sz val="11"/>
      <name val="Arial"/>
      <family val="0"/>
      <charset val="1"/>
    </font>
    <font>
      <sz val="11"/>
      <name val="Arial"/>
      <family val="0"/>
      <charset val="1"/>
    </font>
    <font>
      <u val="single"/>
      <sz val="11"/>
      <name val="Arial"/>
      <family val="0"/>
      <charset val="1"/>
    </font>
    <font>
      <b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theme="7" tint="0.5999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top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righ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1DA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2"/>
  <sheetViews>
    <sheetView showFormulas="false" showGridLines="true" showRowColHeaders="true" showZeros="true" rightToLeft="tru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4"/>
    <col collapsed="false" customWidth="true" hidden="false" outlineLevel="0" max="3" min="3" style="0" width="46"/>
    <col collapsed="false" customWidth="true" hidden="false" outlineLevel="0" max="4" min="4" style="0" width="12"/>
    <col collapsed="false" customWidth="true" hidden="false" outlineLevel="0" max="5" min="5" style="0" width="4"/>
  </cols>
  <sheetData>
    <row r="1" customFormat="false" ht="1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3" t="n">
        <v>500000</v>
      </c>
      <c r="C3" s="2" t="s">
        <v>2</v>
      </c>
    </row>
    <row r="4" customFormat="false" ht="15" hidden="false" customHeight="false" outlineLevel="0" collapsed="false">
      <c r="A4" s="2" t="s">
        <v>3</v>
      </c>
      <c r="B4" s="3" t="n">
        <v>300000</v>
      </c>
      <c r="C4" s="2" t="s">
        <v>2</v>
      </c>
    </row>
    <row r="5" customFormat="false" ht="15" hidden="false" customHeight="false" outlineLevel="0" collapsed="false">
      <c r="A5" s="2" t="s">
        <v>4</v>
      </c>
      <c r="B5" s="3" t="n">
        <v>350000</v>
      </c>
      <c r="C5" s="2" t="s">
        <v>2</v>
      </c>
    </row>
    <row r="6" customFormat="false" ht="15" hidden="false" customHeight="false" outlineLevel="0" collapsed="false">
      <c r="A6" s="2" t="s">
        <v>5</v>
      </c>
      <c r="B6" s="3" t="n">
        <v>120000</v>
      </c>
      <c r="C6" s="2" t="s">
        <v>2</v>
      </c>
    </row>
    <row r="7" customFormat="false" ht="15" hidden="false" customHeight="false" outlineLevel="0" collapsed="false">
      <c r="A7" s="2" t="s">
        <v>6</v>
      </c>
      <c r="B7" s="3" t="n">
        <v>80000</v>
      </c>
      <c r="C7" s="2" t="s">
        <v>2</v>
      </c>
    </row>
    <row r="8" customFormat="false" ht="15" hidden="false" customHeight="false" outlineLevel="0" collapsed="false">
      <c r="A8" s="2" t="s">
        <v>7</v>
      </c>
      <c r="B8" s="3" t="n">
        <v>150000</v>
      </c>
      <c r="C8" s="2" t="s">
        <v>2</v>
      </c>
    </row>
    <row r="9" customFormat="false" ht="15" hidden="false" customHeight="false" outlineLevel="0" collapsed="false">
      <c r="A9" s="2" t="s">
        <v>8</v>
      </c>
      <c r="B9" s="3" t="n">
        <v>100000</v>
      </c>
      <c r="C9" s="2" t="s">
        <v>2</v>
      </c>
    </row>
    <row r="10" customFormat="false" ht="15" hidden="false" customHeight="false" outlineLevel="0" collapsed="false">
      <c r="A10" s="2" t="s">
        <v>9</v>
      </c>
      <c r="B10" s="3" t="n">
        <v>100000</v>
      </c>
      <c r="C10" s="2" t="s">
        <v>2</v>
      </c>
    </row>
    <row r="12" customFormat="false" ht="15" hidden="false" customHeight="false" outlineLevel="0" collapsed="false">
      <c r="A12" s="1" t="s">
        <v>10</v>
      </c>
    </row>
    <row r="14" customFormat="false" ht="15" hidden="false" customHeight="false" outlineLevel="0" collapsed="false">
      <c r="A14" s="4" t="s">
        <v>11</v>
      </c>
    </row>
    <row r="15" customFormat="false" ht="15" hidden="false" customHeight="false" outlineLevel="0" collapsed="false">
      <c r="A15" s="2" t="s">
        <v>12</v>
      </c>
      <c r="B15" s="3" t="n">
        <f aca="false">B3</f>
        <v>500000</v>
      </c>
      <c r="C15" s="2" t="s">
        <v>2</v>
      </c>
    </row>
    <row r="16" customFormat="false" ht="15" hidden="false" customHeight="false" outlineLevel="0" collapsed="false">
      <c r="A16" s="2" t="s">
        <v>13</v>
      </c>
      <c r="B16" s="3" t="n">
        <f aca="false">B15</f>
        <v>500000</v>
      </c>
    </row>
    <row r="18" customFormat="false" ht="15" hidden="false" customHeight="false" outlineLevel="0" collapsed="false">
      <c r="A18" s="4" t="s">
        <v>14</v>
      </c>
    </row>
    <row r="19" customFormat="false" ht="15" hidden="false" customHeight="false" outlineLevel="0" collapsed="false">
      <c r="A19" s="2" t="s">
        <v>12</v>
      </c>
      <c r="B19" s="3" t="n">
        <f aca="false">B4</f>
        <v>300000</v>
      </c>
      <c r="C19" s="2" t="s">
        <v>2</v>
      </c>
    </row>
    <row r="20" customFormat="false" ht="15" hidden="false" customHeight="false" outlineLevel="0" collapsed="false">
      <c r="A20" s="2" t="s">
        <v>15</v>
      </c>
      <c r="B20" s="3" t="n">
        <f aca="false">B19</f>
        <v>300000</v>
      </c>
    </row>
    <row r="22" customFormat="false" ht="15" hidden="false" customHeight="false" outlineLevel="0" collapsed="false">
      <c r="A22" s="4" t="s">
        <v>16</v>
      </c>
    </row>
    <row r="23" customFormat="false" ht="15" hidden="false" customHeight="false" outlineLevel="0" collapsed="false">
      <c r="A23" s="2" t="s">
        <v>17</v>
      </c>
      <c r="B23" s="3" t="n">
        <f aca="false">B5</f>
        <v>350000</v>
      </c>
      <c r="C23" s="2" t="s">
        <v>2</v>
      </c>
    </row>
    <row r="24" customFormat="false" ht="15" hidden="false" customHeight="false" outlineLevel="0" collapsed="false">
      <c r="A24" s="2" t="s">
        <v>18</v>
      </c>
      <c r="B24" s="3" t="n">
        <f aca="false">B23</f>
        <v>350000</v>
      </c>
    </row>
    <row r="26" customFormat="false" ht="15" hidden="false" customHeight="false" outlineLevel="0" collapsed="false">
      <c r="A26" s="4" t="s">
        <v>19</v>
      </c>
    </row>
    <row r="27" customFormat="false" ht="15" hidden="false" customHeight="false" outlineLevel="0" collapsed="false">
      <c r="A27" s="2" t="s">
        <v>20</v>
      </c>
      <c r="B27" s="3" t="n">
        <f aca="false">B6</f>
        <v>120000</v>
      </c>
      <c r="C27" s="2" t="s">
        <v>2</v>
      </c>
    </row>
    <row r="28" customFormat="false" ht="15" hidden="false" customHeight="false" outlineLevel="0" collapsed="false">
      <c r="A28" s="2" t="s">
        <v>18</v>
      </c>
      <c r="B28" s="3" t="n">
        <f aca="false">B7</f>
        <v>80000</v>
      </c>
      <c r="C28" s="2" t="s">
        <v>2</v>
      </c>
    </row>
    <row r="29" customFormat="false" ht="15" hidden="false" customHeight="false" outlineLevel="0" collapsed="false">
      <c r="A29" s="2" t="s">
        <v>21</v>
      </c>
      <c r="B29" s="3" t="n">
        <f aca="false">B27-B28</f>
        <v>40000</v>
      </c>
      <c r="C29" s="2" t="s">
        <v>22</v>
      </c>
    </row>
    <row r="31" customFormat="false" ht="15" hidden="false" customHeight="false" outlineLevel="0" collapsed="false">
      <c r="A31" s="4" t="s">
        <v>23</v>
      </c>
    </row>
    <row r="32" customFormat="false" ht="15" hidden="false" customHeight="false" outlineLevel="0" collapsed="false">
      <c r="A32" s="2" t="s">
        <v>24</v>
      </c>
      <c r="B32" s="3" t="n">
        <f aca="false">B8</f>
        <v>150000</v>
      </c>
      <c r="C32" s="2" t="s">
        <v>2</v>
      </c>
    </row>
    <row r="33" customFormat="false" ht="15" hidden="false" customHeight="false" outlineLevel="0" collapsed="false">
      <c r="A33" s="2" t="s">
        <v>18</v>
      </c>
      <c r="B33" s="3" t="n">
        <f aca="false">B9</f>
        <v>100000</v>
      </c>
      <c r="C33" s="2" t="s">
        <v>2</v>
      </c>
    </row>
    <row r="34" customFormat="false" ht="15" hidden="false" customHeight="false" outlineLevel="0" collapsed="false">
      <c r="A34" s="2" t="s">
        <v>25</v>
      </c>
      <c r="B34" s="3" t="n">
        <f aca="false">B32-B33</f>
        <v>50000</v>
      </c>
      <c r="C34" s="2" t="s">
        <v>26</v>
      </c>
    </row>
    <row r="36" customFormat="false" ht="15" hidden="false" customHeight="false" outlineLevel="0" collapsed="false">
      <c r="A36" s="4" t="s">
        <v>27</v>
      </c>
    </row>
    <row r="37" customFormat="false" ht="15" hidden="false" customHeight="false" outlineLevel="0" collapsed="false">
      <c r="A37" s="2" t="s">
        <v>28</v>
      </c>
      <c r="B37" s="3" t="n">
        <f aca="false">B29</f>
        <v>40000</v>
      </c>
      <c r="C37" s="2" t="s">
        <v>29</v>
      </c>
    </row>
    <row r="38" customFormat="false" ht="15" hidden="false" customHeight="false" outlineLevel="0" collapsed="false">
      <c r="A38" s="2" t="s">
        <v>18</v>
      </c>
      <c r="B38" s="3" t="n">
        <f aca="false">B37</f>
        <v>40000</v>
      </c>
    </row>
    <row r="40" customFormat="false" ht="15" hidden="false" customHeight="false" outlineLevel="0" collapsed="false">
      <c r="A40" s="4" t="s">
        <v>30</v>
      </c>
    </row>
    <row r="41" customFormat="false" ht="15" hidden="false" customHeight="false" outlineLevel="0" collapsed="false">
      <c r="A41" s="2" t="s">
        <v>31</v>
      </c>
      <c r="B41" s="3" t="n">
        <f aca="false">B10</f>
        <v>100000</v>
      </c>
      <c r="C41" s="2" t="s">
        <v>2</v>
      </c>
    </row>
    <row r="42" customFormat="false" ht="15" hidden="false" customHeight="false" outlineLevel="0" collapsed="false">
      <c r="A42" s="2" t="s">
        <v>18</v>
      </c>
      <c r="B42" s="3" t="n">
        <f aca="false">B41</f>
        <v>100000</v>
      </c>
    </row>
    <row r="44" customFormat="false" ht="15" hidden="false" customHeight="false" outlineLevel="0" collapsed="false">
      <c r="A44" s="1" t="s">
        <v>32</v>
      </c>
    </row>
    <row r="46" customFormat="false" ht="15" hidden="false" customHeight="false" outlineLevel="0" collapsed="false">
      <c r="A46" s="4" t="s">
        <v>33</v>
      </c>
    </row>
    <row r="47" customFormat="false" ht="15" hidden="false" customHeight="false" outlineLevel="0" collapsed="false">
      <c r="A47" s="2" t="s">
        <v>34</v>
      </c>
      <c r="B47" s="3" t="n">
        <f aca="false">B15+B19-B24-B28-B33-B38-B42</f>
        <v>130000</v>
      </c>
    </row>
    <row r="48" customFormat="false" ht="15" hidden="false" customHeight="false" outlineLevel="0" collapsed="false">
      <c r="A48" s="2" t="s">
        <v>35</v>
      </c>
      <c r="B48" s="3" t="n">
        <f aca="false">B27</f>
        <v>120000</v>
      </c>
    </row>
    <row r="49" customFormat="false" ht="15" hidden="false" customHeight="false" outlineLevel="0" collapsed="false">
      <c r="A49" s="2" t="s">
        <v>36</v>
      </c>
      <c r="B49" s="3" t="n">
        <f aca="false">B23</f>
        <v>350000</v>
      </c>
    </row>
    <row r="50" customFormat="false" ht="15" hidden="false" customHeight="false" outlineLevel="0" collapsed="false">
      <c r="A50" s="2" t="s">
        <v>37</v>
      </c>
      <c r="B50" s="3" t="n">
        <f aca="false">B32</f>
        <v>150000</v>
      </c>
    </row>
    <row r="51" customFormat="false" ht="15" hidden="false" customHeight="false" outlineLevel="0" collapsed="false">
      <c r="A51" s="2" t="s">
        <v>38</v>
      </c>
      <c r="B51" s="3" t="n">
        <f aca="false">-B29+B37</f>
        <v>0</v>
      </c>
    </row>
    <row r="52" customFormat="false" ht="15" hidden="false" customHeight="false" outlineLevel="0" collapsed="false">
      <c r="A52" s="2" t="s">
        <v>39</v>
      </c>
      <c r="B52" s="3" t="n">
        <f aca="false">-B34</f>
        <v>-50000</v>
      </c>
    </row>
    <row r="53" customFormat="false" ht="15" hidden="false" customHeight="false" outlineLevel="0" collapsed="false">
      <c r="A53" s="2" t="s">
        <v>40</v>
      </c>
      <c r="B53" s="3" t="n">
        <f aca="false">-B20+B41</f>
        <v>-200000</v>
      </c>
    </row>
    <row r="54" customFormat="false" ht="15" hidden="false" customHeight="false" outlineLevel="0" collapsed="false">
      <c r="A54" s="2" t="s">
        <v>41</v>
      </c>
      <c r="B54" s="3" t="n">
        <f aca="false">-B16</f>
        <v>-500000</v>
      </c>
    </row>
    <row r="55" customFormat="false" ht="15" hidden="false" customHeight="false" outlineLevel="0" collapsed="false">
      <c r="A55" s="5" t="s">
        <v>42</v>
      </c>
      <c r="B55" s="6" t="n">
        <f aca="false">SUM(B47:B54)</f>
        <v>0</v>
      </c>
    </row>
    <row r="57" customFormat="false" ht="15" hidden="false" customHeight="false" outlineLevel="0" collapsed="false">
      <c r="A57" s="7" t="s">
        <v>43</v>
      </c>
      <c r="B57" s="8"/>
      <c r="D57" s="9" t="s">
        <v>44</v>
      </c>
    </row>
    <row r="58" customFormat="false" ht="15" hidden="false" customHeight="false" outlineLevel="0" collapsed="false">
      <c r="A58" s="10" t="s">
        <v>45</v>
      </c>
      <c r="B58" s="8"/>
      <c r="D58" s="9"/>
    </row>
    <row r="59" customFormat="false" ht="15" hidden="false" customHeight="false" outlineLevel="0" collapsed="false">
      <c r="A59" s="11" t="s">
        <v>34</v>
      </c>
      <c r="B59" s="12" t="n">
        <f aca="false">B47</f>
        <v>130000</v>
      </c>
      <c r="D59" s="9"/>
    </row>
    <row r="60" customFormat="false" ht="15" hidden="false" customHeight="false" outlineLevel="0" collapsed="false">
      <c r="A60" s="11" t="s">
        <v>35</v>
      </c>
      <c r="B60" s="12" t="n">
        <f aca="false">B48</f>
        <v>120000</v>
      </c>
      <c r="D60" s="9"/>
    </row>
    <row r="61" customFormat="false" ht="15" hidden="false" customHeight="false" outlineLevel="0" collapsed="false">
      <c r="A61" s="11" t="s">
        <v>36</v>
      </c>
      <c r="B61" s="12" t="n">
        <f aca="false">B49</f>
        <v>350000</v>
      </c>
      <c r="D61" s="9"/>
    </row>
    <row r="62" customFormat="false" ht="15" hidden="false" customHeight="false" outlineLevel="0" collapsed="false">
      <c r="A62" s="11" t="s">
        <v>37</v>
      </c>
      <c r="B62" s="12" t="n">
        <f aca="false">B50</f>
        <v>150000</v>
      </c>
      <c r="D62" s="9"/>
    </row>
    <row r="63" customFormat="false" ht="15" hidden="false" customHeight="false" outlineLevel="0" collapsed="false">
      <c r="A63" s="13" t="s">
        <v>46</v>
      </c>
      <c r="B63" s="14" t="n">
        <f aca="false">SUM(B59:B62)</f>
        <v>750000</v>
      </c>
      <c r="D63" s="9"/>
    </row>
    <row r="64" customFormat="false" ht="15" hidden="false" customHeight="false" outlineLevel="0" collapsed="false">
      <c r="A64" s="10" t="s">
        <v>47</v>
      </c>
      <c r="B64" s="8"/>
      <c r="D64" s="9"/>
    </row>
    <row r="65" customFormat="false" ht="15" hidden="false" customHeight="false" outlineLevel="0" collapsed="false">
      <c r="A65" s="11" t="s">
        <v>39</v>
      </c>
      <c r="B65" s="12" t="n">
        <f aca="false">-B52</f>
        <v>50000</v>
      </c>
      <c r="D65" s="9"/>
    </row>
    <row r="66" customFormat="false" ht="15" hidden="false" customHeight="false" outlineLevel="0" collapsed="false">
      <c r="A66" s="11" t="s">
        <v>40</v>
      </c>
      <c r="B66" s="12" t="n">
        <f aca="false">-B53</f>
        <v>200000</v>
      </c>
      <c r="D66" s="9"/>
    </row>
    <row r="67" customFormat="false" ht="15" hidden="false" customHeight="false" outlineLevel="0" collapsed="false">
      <c r="A67" s="10" t="s">
        <v>48</v>
      </c>
      <c r="B67" s="8"/>
      <c r="D67" s="9"/>
    </row>
    <row r="68" customFormat="false" ht="15" hidden="false" customHeight="false" outlineLevel="0" collapsed="false">
      <c r="A68" s="11" t="s">
        <v>41</v>
      </c>
      <c r="B68" s="12" t="n">
        <f aca="false">-B54</f>
        <v>500000</v>
      </c>
      <c r="D68" s="9"/>
    </row>
    <row r="69" customFormat="false" ht="15" hidden="false" customHeight="false" outlineLevel="0" collapsed="false">
      <c r="A69" s="13" t="s">
        <v>49</v>
      </c>
      <c r="B69" s="14" t="n">
        <f aca="false">SUM(B65:B68)</f>
        <v>750000</v>
      </c>
      <c r="D69" s="9"/>
    </row>
    <row r="71" customFormat="false" ht="15" hidden="false" customHeight="false" outlineLevel="0" collapsed="false">
      <c r="A71" s="2" t="s">
        <v>50</v>
      </c>
      <c r="B71" s="3" t="n">
        <f aca="false">B63-B69</f>
        <v>0</v>
      </c>
    </row>
    <row r="73" customFormat="false" ht="15" hidden="false" customHeight="false" outlineLevel="0" collapsed="false">
      <c r="A73" s="2" t="s">
        <v>51</v>
      </c>
    </row>
    <row r="75" customFormat="false" ht="15" hidden="false" customHeight="false" outlineLevel="0" collapsed="false">
      <c r="A75" s="1" t="s">
        <v>52</v>
      </c>
    </row>
    <row r="77" customFormat="false" ht="15" hidden="false" customHeight="false" outlineLevel="0" collapsed="false">
      <c r="A77" s="2" t="s">
        <v>53</v>
      </c>
      <c r="B77" s="3" t="n">
        <f aca="false">-B54</f>
        <v>500000</v>
      </c>
    </row>
    <row r="79" customFormat="false" ht="15" hidden="false" customHeight="false" outlineLevel="0" collapsed="false">
      <c r="A79" s="2" t="s">
        <v>54</v>
      </c>
    </row>
    <row r="80" customFormat="false" ht="15" hidden="false" customHeight="false" outlineLevel="0" collapsed="false">
      <c r="A80" s="2" t="s">
        <v>55</v>
      </c>
    </row>
    <row r="81" customFormat="false" ht="15" hidden="false" customHeight="false" outlineLevel="0" collapsed="false">
      <c r="A81" s="2" t="s">
        <v>56</v>
      </c>
    </row>
    <row r="82" customFormat="false" ht="15" hidden="false" customHeight="false" outlineLevel="0" collapsed="false">
      <c r="A82" s="2" t="s">
        <v>57</v>
      </c>
    </row>
  </sheetData>
  <mergeCells count="1">
    <mergeCell ref="D57:D6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3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4"/>
    <col collapsed="false" customWidth="true" hidden="false" outlineLevel="0" max="3" min="3" style="0" width="46"/>
    <col collapsed="false" customWidth="true" hidden="false" outlineLevel="0" max="4" min="4" style="0" width="12"/>
    <col collapsed="false" customWidth="true" hidden="false" outlineLevel="0" max="5" min="5" style="0" width="4"/>
  </cols>
  <sheetData>
    <row r="1" customFormat="false" ht="1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3" t="n">
        <v>200000</v>
      </c>
      <c r="C3" s="2" t="s">
        <v>2</v>
      </c>
    </row>
    <row r="4" customFormat="false" ht="15" hidden="false" customHeight="false" outlineLevel="0" collapsed="false">
      <c r="A4" s="2" t="s">
        <v>58</v>
      </c>
      <c r="B4" s="3" t="n">
        <v>160000</v>
      </c>
      <c r="C4" s="2" t="s">
        <v>2</v>
      </c>
    </row>
    <row r="5" customFormat="false" ht="15" hidden="false" customHeight="false" outlineLevel="0" collapsed="false">
      <c r="A5" s="2" t="s">
        <v>59</v>
      </c>
      <c r="B5" s="3" t="n">
        <v>130000</v>
      </c>
      <c r="C5" s="2" t="s">
        <v>2</v>
      </c>
    </row>
    <row r="6" customFormat="false" ht="15" hidden="false" customHeight="false" outlineLevel="0" collapsed="false">
      <c r="A6" s="2" t="s">
        <v>60</v>
      </c>
      <c r="B6" s="3" t="n">
        <f aca="false">B4*0.5</f>
        <v>80000</v>
      </c>
      <c r="C6" s="2" t="s">
        <v>61</v>
      </c>
    </row>
    <row r="7" customFormat="false" ht="15" hidden="false" customHeight="false" outlineLevel="0" collapsed="false">
      <c r="A7" s="2" t="s">
        <v>62</v>
      </c>
      <c r="B7" s="3" t="n">
        <v>65000</v>
      </c>
      <c r="C7" s="2" t="s">
        <v>2</v>
      </c>
    </row>
    <row r="8" customFormat="false" ht="15" hidden="false" customHeight="false" outlineLevel="0" collapsed="false">
      <c r="A8" s="2" t="s">
        <v>63</v>
      </c>
      <c r="B8" s="3" t="n">
        <f aca="false">B4*0.25</f>
        <v>40000</v>
      </c>
      <c r="C8" s="2" t="s">
        <v>64</v>
      </c>
    </row>
    <row r="9" customFormat="false" ht="15" hidden="false" customHeight="false" outlineLevel="0" collapsed="false">
      <c r="A9" s="2" t="s">
        <v>65</v>
      </c>
      <c r="B9" s="3" t="n">
        <v>35000</v>
      </c>
      <c r="C9" s="2" t="s">
        <v>2</v>
      </c>
    </row>
    <row r="10" customFormat="false" ht="15" hidden="false" customHeight="false" outlineLevel="0" collapsed="false">
      <c r="A10" s="2" t="s">
        <v>66</v>
      </c>
      <c r="B10" s="3" t="n">
        <v>5000</v>
      </c>
      <c r="C10" s="2" t="s">
        <v>2</v>
      </c>
    </row>
    <row r="11" customFormat="false" ht="15" hidden="false" customHeight="false" outlineLevel="0" collapsed="false">
      <c r="A11" s="2" t="s">
        <v>67</v>
      </c>
      <c r="B11" s="3" t="n">
        <v>100000</v>
      </c>
      <c r="C11" s="2" t="s">
        <v>2</v>
      </c>
    </row>
    <row r="12" customFormat="false" ht="15" hidden="false" customHeight="false" outlineLevel="0" collapsed="false">
      <c r="A12" s="2" t="s">
        <v>68</v>
      </c>
      <c r="B12" s="3" t="n">
        <v>45000</v>
      </c>
      <c r="C12" s="2" t="s">
        <v>2</v>
      </c>
    </row>
    <row r="14" customFormat="false" ht="15" hidden="false" customHeight="false" outlineLevel="0" collapsed="false">
      <c r="A14" s="1" t="s">
        <v>10</v>
      </c>
    </row>
    <row r="16" customFormat="false" ht="15" hidden="false" customHeight="false" outlineLevel="0" collapsed="false">
      <c r="A16" s="4" t="s">
        <v>11</v>
      </c>
    </row>
    <row r="17" customFormat="false" ht="15" hidden="false" customHeight="false" outlineLevel="0" collapsed="false">
      <c r="A17" s="2" t="s">
        <v>12</v>
      </c>
      <c r="B17" s="3" t="n">
        <f aca="false">B3</f>
        <v>200000</v>
      </c>
      <c r="C17" s="2" t="s">
        <v>2</v>
      </c>
    </row>
    <row r="18" customFormat="false" ht="15" hidden="false" customHeight="false" outlineLevel="0" collapsed="false">
      <c r="A18" s="2" t="s">
        <v>13</v>
      </c>
      <c r="B18" s="3" t="n">
        <f aca="false">B17</f>
        <v>200000</v>
      </c>
    </row>
    <row r="20" customFormat="false" ht="15" hidden="false" customHeight="false" outlineLevel="0" collapsed="false">
      <c r="A20" s="4" t="s">
        <v>69</v>
      </c>
    </row>
    <row r="21" customFormat="false" ht="15" hidden="false" customHeight="false" outlineLevel="0" collapsed="false">
      <c r="A21" s="2" t="s">
        <v>20</v>
      </c>
      <c r="B21" s="3" t="n">
        <f aca="false">B4</f>
        <v>160000</v>
      </c>
      <c r="C21" s="2" t="s">
        <v>2</v>
      </c>
    </row>
    <row r="22" customFormat="false" ht="15" hidden="false" customHeight="false" outlineLevel="0" collapsed="false">
      <c r="A22" s="2" t="s">
        <v>21</v>
      </c>
      <c r="B22" s="3" t="n">
        <f aca="false">B21</f>
        <v>160000</v>
      </c>
    </row>
    <row r="24" customFormat="false" ht="15" hidden="false" customHeight="false" outlineLevel="0" collapsed="false">
      <c r="A24" s="4" t="s">
        <v>70</v>
      </c>
    </row>
    <row r="25" customFormat="false" ht="15" hidden="false" customHeight="false" outlineLevel="0" collapsed="false">
      <c r="A25" s="2" t="s">
        <v>12</v>
      </c>
      <c r="B25" s="3" t="n">
        <f aca="false">B5</f>
        <v>130000</v>
      </c>
      <c r="C25" s="2" t="s">
        <v>2</v>
      </c>
    </row>
    <row r="26" customFormat="false" ht="15" hidden="false" customHeight="false" outlineLevel="0" collapsed="false">
      <c r="A26" s="2" t="s">
        <v>71</v>
      </c>
      <c r="B26" s="3" t="n">
        <f aca="false">B25</f>
        <v>130000</v>
      </c>
    </row>
    <row r="28" customFormat="false" ht="15" hidden="false" customHeight="false" outlineLevel="0" collapsed="false">
      <c r="A28" s="2" t="s">
        <v>72</v>
      </c>
      <c r="B28" s="3" t="n">
        <f aca="false">B6</f>
        <v>80000</v>
      </c>
    </row>
    <row r="29" customFormat="false" ht="15" hidden="false" customHeight="false" outlineLevel="0" collapsed="false">
      <c r="A29" s="2" t="s">
        <v>73</v>
      </c>
      <c r="B29" s="3" t="n">
        <f aca="false">B28</f>
        <v>80000</v>
      </c>
      <c r="C29" s="2" t="s">
        <v>29</v>
      </c>
    </row>
    <row r="31" customFormat="false" ht="15" hidden="false" customHeight="false" outlineLevel="0" collapsed="false">
      <c r="A31" s="4" t="s">
        <v>74</v>
      </c>
    </row>
    <row r="32" customFormat="false" ht="15" hidden="false" customHeight="false" outlineLevel="0" collapsed="false">
      <c r="A32" s="2" t="s">
        <v>75</v>
      </c>
      <c r="B32" s="3" t="n">
        <f aca="false">B7</f>
        <v>65000</v>
      </c>
      <c r="C32" s="2" t="s">
        <v>2</v>
      </c>
    </row>
    <row r="33" customFormat="false" ht="15" hidden="false" customHeight="false" outlineLevel="0" collapsed="false">
      <c r="A33" s="2" t="s">
        <v>71</v>
      </c>
      <c r="B33" s="3" t="n">
        <f aca="false">B32</f>
        <v>65000</v>
      </c>
    </row>
    <row r="35" customFormat="false" ht="15" hidden="false" customHeight="false" outlineLevel="0" collapsed="false">
      <c r="A35" s="2" t="s">
        <v>72</v>
      </c>
      <c r="B35" s="3" t="n">
        <f aca="false">B8</f>
        <v>40000</v>
      </c>
    </row>
    <row r="36" customFormat="false" ht="15" hidden="false" customHeight="false" outlineLevel="0" collapsed="false">
      <c r="A36" s="2" t="s">
        <v>73</v>
      </c>
      <c r="B36" s="3" t="n">
        <f aca="false">B35</f>
        <v>40000</v>
      </c>
      <c r="C36" s="2" t="s">
        <v>29</v>
      </c>
    </row>
    <row r="38" customFormat="false" ht="15" hidden="false" customHeight="false" outlineLevel="0" collapsed="false">
      <c r="A38" s="4" t="s">
        <v>76</v>
      </c>
    </row>
    <row r="39" customFormat="false" ht="15" hidden="false" customHeight="false" outlineLevel="0" collapsed="false">
      <c r="A39" s="2" t="s">
        <v>77</v>
      </c>
      <c r="B39" s="3" t="n">
        <f aca="false">B9</f>
        <v>35000</v>
      </c>
      <c r="C39" s="2" t="s">
        <v>2</v>
      </c>
    </row>
    <row r="40" customFormat="false" ht="15" hidden="false" customHeight="false" outlineLevel="0" collapsed="false">
      <c r="A40" s="2" t="s">
        <v>18</v>
      </c>
      <c r="B40" s="3" t="n">
        <f aca="false">B39</f>
        <v>35000</v>
      </c>
    </row>
    <row r="42" customFormat="false" ht="15" hidden="false" customHeight="false" outlineLevel="0" collapsed="false">
      <c r="A42" s="4" t="s">
        <v>78</v>
      </c>
    </row>
    <row r="43" customFormat="false" ht="15" hidden="false" customHeight="false" outlineLevel="0" collapsed="false">
      <c r="A43" s="2" t="s">
        <v>79</v>
      </c>
      <c r="B43" s="3" t="n">
        <f aca="false">B10</f>
        <v>5000</v>
      </c>
      <c r="C43" s="2" t="s">
        <v>2</v>
      </c>
    </row>
    <row r="44" customFormat="false" ht="15" hidden="false" customHeight="false" outlineLevel="0" collapsed="false">
      <c r="A44" s="2" t="s">
        <v>18</v>
      </c>
      <c r="B44" s="3" t="n">
        <f aca="false">B43</f>
        <v>5000</v>
      </c>
    </row>
    <row r="46" customFormat="false" ht="15" hidden="false" customHeight="false" outlineLevel="0" collapsed="false">
      <c r="A46" s="4" t="s">
        <v>80</v>
      </c>
    </row>
    <row r="47" customFormat="false" ht="15" hidden="false" customHeight="false" outlineLevel="0" collapsed="false">
      <c r="A47" s="2" t="s">
        <v>28</v>
      </c>
      <c r="B47" s="3" t="n">
        <f aca="false">B11</f>
        <v>100000</v>
      </c>
      <c r="C47" s="2" t="s">
        <v>2</v>
      </c>
    </row>
    <row r="48" customFormat="false" ht="15" hidden="false" customHeight="false" outlineLevel="0" collapsed="false">
      <c r="A48" s="2" t="s">
        <v>18</v>
      </c>
      <c r="B48" s="3" t="n">
        <f aca="false">B47</f>
        <v>100000</v>
      </c>
    </row>
    <row r="50" customFormat="false" ht="15" hidden="false" customHeight="false" outlineLevel="0" collapsed="false">
      <c r="A50" s="4" t="s">
        <v>81</v>
      </c>
    </row>
    <row r="51" customFormat="false" ht="15" hidden="false" customHeight="false" outlineLevel="0" collapsed="false">
      <c r="A51" s="2" t="s">
        <v>12</v>
      </c>
      <c r="B51" s="3" t="n">
        <f aca="false">B12</f>
        <v>45000</v>
      </c>
      <c r="C51" s="2" t="s">
        <v>2</v>
      </c>
    </row>
    <row r="52" customFormat="false" ht="15" hidden="false" customHeight="false" outlineLevel="0" collapsed="false">
      <c r="A52" s="2" t="s">
        <v>82</v>
      </c>
      <c r="B52" s="3" t="n">
        <f aca="false">B51</f>
        <v>45000</v>
      </c>
    </row>
    <row r="54" customFormat="false" ht="15" hidden="false" customHeight="false" outlineLevel="0" collapsed="false">
      <c r="A54" s="4" t="s">
        <v>33</v>
      </c>
    </row>
    <row r="55" customFormat="false" ht="15" hidden="false" customHeight="false" outlineLevel="0" collapsed="false">
      <c r="A55" s="2" t="s">
        <v>34</v>
      </c>
      <c r="B55" s="3" t="n">
        <f aca="false">B17+B25-B40-B44-B48+B51</f>
        <v>235000</v>
      </c>
    </row>
    <row r="56" customFormat="false" ht="15" hidden="false" customHeight="false" outlineLevel="0" collapsed="false">
      <c r="A56" s="2" t="s">
        <v>83</v>
      </c>
      <c r="B56" s="3" t="n">
        <f aca="false">B32-B52</f>
        <v>20000</v>
      </c>
    </row>
    <row r="57" customFormat="false" ht="15" hidden="false" customHeight="false" outlineLevel="0" collapsed="false">
      <c r="A57" s="2" t="s">
        <v>35</v>
      </c>
      <c r="B57" s="3" t="n">
        <f aca="false">B21-B29-B36</f>
        <v>40000</v>
      </c>
    </row>
    <row r="58" customFormat="false" ht="15" hidden="false" customHeight="false" outlineLevel="0" collapsed="false">
      <c r="A58" s="2" t="s">
        <v>38</v>
      </c>
      <c r="B58" s="3" t="n">
        <f aca="false">-B22+B47</f>
        <v>-60000</v>
      </c>
    </row>
    <row r="59" customFormat="false" ht="15" hidden="false" customHeight="false" outlineLevel="0" collapsed="false">
      <c r="A59" s="2" t="s">
        <v>41</v>
      </c>
      <c r="B59" s="3" t="n">
        <f aca="false">-B18</f>
        <v>-200000</v>
      </c>
    </row>
    <row r="60" customFormat="false" ht="15" hidden="false" customHeight="false" outlineLevel="0" collapsed="false">
      <c r="A60" s="2" t="s">
        <v>84</v>
      </c>
      <c r="B60" s="3" t="n">
        <f aca="false">-B26-B33</f>
        <v>-195000</v>
      </c>
    </row>
    <row r="61" customFormat="false" ht="15" hidden="false" customHeight="false" outlineLevel="0" collapsed="false">
      <c r="A61" s="2" t="s">
        <v>85</v>
      </c>
      <c r="B61" s="3" t="n">
        <f aca="false">B28+B35</f>
        <v>120000</v>
      </c>
    </row>
    <row r="62" customFormat="false" ht="15" hidden="false" customHeight="false" outlineLevel="0" collapsed="false">
      <c r="A62" s="2" t="s">
        <v>86</v>
      </c>
      <c r="B62" s="3" t="n">
        <f aca="false">B39</f>
        <v>35000</v>
      </c>
    </row>
    <row r="63" customFormat="false" ht="15" hidden="false" customHeight="false" outlineLevel="0" collapsed="false">
      <c r="A63" s="2" t="s">
        <v>87</v>
      </c>
      <c r="B63" s="3" t="n">
        <f aca="false">B43</f>
        <v>5000</v>
      </c>
    </row>
    <row r="64" customFormat="false" ht="15" hidden="false" customHeight="false" outlineLevel="0" collapsed="false">
      <c r="A64" s="5" t="s">
        <v>42</v>
      </c>
      <c r="B64" s="6" t="n">
        <f aca="false">SUM(B55:B63)</f>
        <v>0</v>
      </c>
    </row>
    <row r="66" customFormat="false" ht="15" hidden="false" customHeight="false" outlineLevel="0" collapsed="false">
      <c r="A66" s="1" t="s">
        <v>88</v>
      </c>
    </row>
    <row r="68" customFormat="false" ht="15" hidden="false" customHeight="false" outlineLevel="0" collapsed="false">
      <c r="A68" s="7" t="s">
        <v>89</v>
      </c>
      <c r="B68" s="8"/>
      <c r="D68" s="9" t="s">
        <v>44</v>
      </c>
    </row>
    <row r="69" customFormat="false" ht="15" hidden="false" customHeight="false" outlineLevel="0" collapsed="false">
      <c r="A69" s="11" t="s">
        <v>84</v>
      </c>
      <c r="B69" s="12" t="n">
        <f aca="false">-B60</f>
        <v>195000</v>
      </c>
      <c r="D69" s="9"/>
    </row>
    <row r="70" customFormat="false" ht="15" hidden="false" customHeight="false" outlineLevel="0" collapsed="false">
      <c r="A70" s="11" t="s">
        <v>85</v>
      </c>
      <c r="B70" s="12" t="n">
        <f aca="false">-B61</f>
        <v>-120000</v>
      </c>
      <c r="D70" s="9"/>
    </row>
    <row r="71" customFormat="false" ht="15" hidden="false" customHeight="false" outlineLevel="0" collapsed="false">
      <c r="A71" s="13" t="s">
        <v>90</v>
      </c>
      <c r="B71" s="14" t="n">
        <f aca="false">SUM(B69:B70)</f>
        <v>75000</v>
      </c>
      <c r="D71" s="9"/>
    </row>
    <row r="72" customFormat="false" ht="15" hidden="false" customHeight="false" outlineLevel="0" collapsed="false">
      <c r="A72" s="11" t="s">
        <v>86</v>
      </c>
      <c r="B72" s="12" t="n">
        <f aca="false">-B62</f>
        <v>-35000</v>
      </c>
      <c r="D72" s="9"/>
    </row>
    <row r="73" customFormat="false" ht="15" hidden="false" customHeight="false" outlineLevel="0" collapsed="false">
      <c r="A73" s="11" t="s">
        <v>87</v>
      </c>
      <c r="B73" s="12" t="n">
        <f aca="false">-B63</f>
        <v>-5000</v>
      </c>
      <c r="D73" s="9"/>
    </row>
    <row r="74" customFormat="false" ht="15" hidden="false" customHeight="false" outlineLevel="0" collapsed="false">
      <c r="A74" s="13" t="s">
        <v>91</v>
      </c>
      <c r="B74" s="14" t="n">
        <f aca="false">B71+SUM(B72:B73)</f>
        <v>35000</v>
      </c>
      <c r="D74" s="9"/>
    </row>
    <row r="76" customFormat="false" ht="15" hidden="false" customHeight="false" outlineLevel="0" collapsed="false">
      <c r="A76" s="1" t="s">
        <v>92</v>
      </c>
    </row>
    <row r="78" customFormat="false" ht="15" hidden="false" customHeight="false" outlineLevel="0" collapsed="false">
      <c r="A78" s="7" t="s">
        <v>93</v>
      </c>
      <c r="B78" s="8"/>
      <c r="D78" s="9" t="s">
        <v>94</v>
      </c>
    </row>
    <row r="79" customFormat="false" ht="15" hidden="false" customHeight="false" outlineLevel="0" collapsed="false">
      <c r="A79" s="10" t="s">
        <v>45</v>
      </c>
      <c r="B79" s="8"/>
      <c r="D79" s="9"/>
    </row>
    <row r="80" customFormat="false" ht="15" hidden="false" customHeight="false" outlineLevel="0" collapsed="false">
      <c r="A80" s="11" t="s">
        <v>34</v>
      </c>
      <c r="B80" s="12" t="n">
        <f aca="false">B55</f>
        <v>235000</v>
      </c>
      <c r="D80" s="9"/>
    </row>
    <row r="81" customFormat="false" ht="15" hidden="false" customHeight="false" outlineLevel="0" collapsed="false">
      <c r="A81" s="11" t="s">
        <v>83</v>
      </c>
      <c r="B81" s="12" t="n">
        <f aca="false">B56</f>
        <v>20000</v>
      </c>
      <c r="D81" s="9"/>
    </row>
    <row r="82" customFormat="false" ht="15" hidden="false" customHeight="false" outlineLevel="0" collapsed="false">
      <c r="A82" s="11" t="s">
        <v>35</v>
      </c>
      <c r="B82" s="12" t="n">
        <f aca="false">B57</f>
        <v>40000</v>
      </c>
      <c r="D82" s="9"/>
    </row>
    <row r="83" customFormat="false" ht="15" hidden="false" customHeight="false" outlineLevel="0" collapsed="false">
      <c r="A83" s="13" t="s">
        <v>46</v>
      </c>
      <c r="B83" s="14" t="n">
        <f aca="false">SUM(B80:B82)</f>
        <v>295000</v>
      </c>
      <c r="D83" s="9"/>
    </row>
    <row r="84" customFormat="false" ht="15" hidden="false" customHeight="false" outlineLevel="0" collapsed="false">
      <c r="A84" s="10" t="s">
        <v>47</v>
      </c>
      <c r="B84" s="8"/>
      <c r="D84" s="9"/>
    </row>
    <row r="85" customFormat="false" ht="15" hidden="false" customHeight="false" outlineLevel="0" collapsed="false">
      <c r="A85" s="11" t="s">
        <v>38</v>
      </c>
      <c r="B85" s="12" t="n">
        <f aca="false">-B58</f>
        <v>60000</v>
      </c>
      <c r="D85" s="9"/>
    </row>
    <row r="86" customFormat="false" ht="15" hidden="false" customHeight="false" outlineLevel="0" collapsed="false">
      <c r="A86" s="10" t="s">
        <v>48</v>
      </c>
      <c r="B86" s="8"/>
      <c r="D86" s="9"/>
    </row>
    <row r="87" customFormat="false" ht="15" hidden="false" customHeight="false" outlineLevel="0" collapsed="false">
      <c r="A87" s="11" t="s">
        <v>41</v>
      </c>
      <c r="B87" s="12" t="n">
        <f aca="false">-B59</f>
        <v>200000</v>
      </c>
      <c r="D87" s="9"/>
    </row>
    <row r="88" customFormat="false" ht="15" hidden="false" customHeight="false" outlineLevel="0" collapsed="false">
      <c r="A88" s="11" t="s">
        <v>95</v>
      </c>
      <c r="B88" s="12" t="n">
        <f aca="false">B74</f>
        <v>35000</v>
      </c>
      <c r="D88" s="9"/>
    </row>
    <row r="89" customFormat="false" ht="15" hidden="false" customHeight="false" outlineLevel="0" collapsed="false">
      <c r="A89" s="13" t="s">
        <v>49</v>
      </c>
      <c r="B89" s="14" t="n">
        <f aca="false">SUM(B85:B88)</f>
        <v>295000</v>
      </c>
      <c r="D89" s="9"/>
    </row>
    <row r="91" customFormat="false" ht="15" hidden="false" customHeight="false" outlineLevel="0" collapsed="false">
      <c r="A91" s="2" t="s">
        <v>50</v>
      </c>
      <c r="B91" s="3" t="n">
        <f aca="false">B83-B89</f>
        <v>0</v>
      </c>
    </row>
    <row r="93" customFormat="false" ht="15" hidden="false" customHeight="false" outlineLevel="0" collapsed="false">
      <c r="A93" s="2" t="s">
        <v>96</v>
      </c>
    </row>
  </sheetData>
  <mergeCells count="2">
    <mergeCell ref="D68:D74"/>
    <mergeCell ref="D78:D8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6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4"/>
    <col collapsed="false" customWidth="true" hidden="false" outlineLevel="0" max="3" min="3" style="0" width="46"/>
    <col collapsed="false" customWidth="true" hidden="false" outlineLevel="0" max="4" min="4" style="0" width="12"/>
    <col collapsed="false" customWidth="true" hidden="false" outlineLevel="0" max="5" min="5" style="0" width="4"/>
  </cols>
  <sheetData>
    <row r="1" customFormat="false" ht="1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3" t="n">
        <v>80000</v>
      </c>
      <c r="C3" s="2" t="s">
        <v>2</v>
      </c>
    </row>
    <row r="4" customFormat="false" ht="15" hidden="false" customHeight="false" outlineLevel="0" collapsed="false">
      <c r="A4" s="2" t="s">
        <v>97</v>
      </c>
      <c r="B4" s="3" t="n">
        <v>60000</v>
      </c>
      <c r="C4" s="2" t="s">
        <v>2</v>
      </c>
    </row>
    <row r="5" customFormat="false" ht="15" hidden="false" customHeight="false" outlineLevel="0" collapsed="false">
      <c r="A5" s="2" t="s">
        <v>98</v>
      </c>
      <c r="B5" s="3" t="n">
        <v>40000</v>
      </c>
      <c r="C5" s="2" t="s">
        <v>2</v>
      </c>
    </row>
    <row r="6" customFormat="false" ht="15" hidden="false" customHeight="false" outlineLevel="0" collapsed="false">
      <c r="A6" s="2" t="s">
        <v>99</v>
      </c>
      <c r="B6" s="3" t="n">
        <v>45000</v>
      </c>
      <c r="C6" s="2" t="s">
        <v>2</v>
      </c>
    </row>
    <row r="7" customFormat="false" ht="15" hidden="false" customHeight="false" outlineLevel="0" collapsed="false">
      <c r="A7" s="2" t="s">
        <v>100</v>
      </c>
      <c r="B7" s="3" t="n">
        <v>30000</v>
      </c>
      <c r="C7" s="2" t="s">
        <v>2</v>
      </c>
    </row>
    <row r="8" customFormat="false" ht="15" hidden="false" customHeight="false" outlineLevel="0" collapsed="false">
      <c r="A8" s="2" t="s">
        <v>101</v>
      </c>
      <c r="B8" s="3" t="n">
        <v>28000</v>
      </c>
      <c r="C8" s="2" t="s">
        <v>2</v>
      </c>
    </row>
    <row r="9" customFormat="false" ht="15" hidden="false" customHeight="false" outlineLevel="0" collapsed="false">
      <c r="A9" s="2" t="s">
        <v>102</v>
      </c>
      <c r="B9" s="3" t="n">
        <v>4000</v>
      </c>
      <c r="C9" s="2" t="s">
        <v>2</v>
      </c>
    </row>
    <row r="11" customFormat="false" ht="15" hidden="false" customHeight="false" outlineLevel="0" collapsed="false">
      <c r="A11" s="1" t="s">
        <v>10</v>
      </c>
    </row>
    <row r="13" customFormat="false" ht="15" hidden="false" customHeight="false" outlineLevel="0" collapsed="false">
      <c r="A13" s="4" t="s">
        <v>11</v>
      </c>
    </row>
    <row r="14" customFormat="false" ht="15" hidden="false" customHeight="false" outlineLevel="0" collapsed="false">
      <c r="A14" s="2" t="s">
        <v>12</v>
      </c>
      <c r="B14" s="3" t="n">
        <f aca="false">B3</f>
        <v>80000</v>
      </c>
      <c r="C14" s="2" t="s">
        <v>2</v>
      </c>
    </row>
    <row r="15" customFormat="false" ht="15" hidden="false" customHeight="false" outlineLevel="0" collapsed="false">
      <c r="A15" s="2" t="s">
        <v>13</v>
      </c>
      <c r="B15" s="3" t="n">
        <f aca="false">B14</f>
        <v>80000</v>
      </c>
    </row>
    <row r="17" customFormat="false" ht="15" hidden="false" customHeight="false" outlineLevel="0" collapsed="false">
      <c r="A17" s="4" t="s">
        <v>103</v>
      </c>
    </row>
    <row r="18" customFormat="false" ht="15" hidden="false" customHeight="false" outlineLevel="0" collapsed="false">
      <c r="A18" s="2" t="s">
        <v>17</v>
      </c>
      <c r="B18" s="3" t="n">
        <f aca="false">B4</f>
        <v>60000</v>
      </c>
      <c r="C18" s="2" t="s">
        <v>2</v>
      </c>
    </row>
    <row r="19" customFormat="false" ht="15" hidden="false" customHeight="false" outlineLevel="0" collapsed="false">
      <c r="A19" s="2" t="s">
        <v>18</v>
      </c>
      <c r="B19" s="3" t="n">
        <f aca="false">B5</f>
        <v>40000</v>
      </c>
      <c r="C19" s="2" t="s">
        <v>2</v>
      </c>
    </row>
    <row r="20" customFormat="false" ht="15" hidden="false" customHeight="false" outlineLevel="0" collapsed="false">
      <c r="A20" s="2" t="s">
        <v>25</v>
      </c>
      <c r="B20" s="3" t="n">
        <f aca="false">B18-B19</f>
        <v>20000</v>
      </c>
      <c r="C20" s="2" t="s">
        <v>104</v>
      </c>
    </row>
    <row r="22" customFormat="false" ht="15" hidden="false" customHeight="false" outlineLevel="0" collapsed="false">
      <c r="A22" s="4" t="s">
        <v>105</v>
      </c>
    </row>
    <row r="23" customFormat="false" ht="15" hidden="false" customHeight="false" outlineLevel="0" collapsed="false">
      <c r="A23" s="2" t="s">
        <v>12</v>
      </c>
      <c r="B23" s="3" t="n">
        <f aca="false">B6</f>
        <v>45000</v>
      </c>
      <c r="C23" s="2" t="s">
        <v>2</v>
      </c>
    </row>
    <row r="24" customFormat="false" ht="15" hidden="false" customHeight="false" outlineLevel="0" collapsed="false">
      <c r="A24" s="2" t="s">
        <v>106</v>
      </c>
      <c r="B24" s="3" t="n">
        <f aca="false">B23</f>
        <v>45000</v>
      </c>
    </row>
    <row r="26" customFormat="false" ht="15" hidden="false" customHeight="false" outlineLevel="0" collapsed="false">
      <c r="A26" s="4" t="s">
        <v>107</v>
      </c>
    </row>
    <row r="27" customFormat="false" ht="15" hidden="false" customHeight="false" outlineLevel="0" collapsed="false">
      <c r="A27" s="2" t="s">
        <v>75</v>
      </c>
      <c r="B27" s="3" t="n">
        <f aca="false">B7</f>
        <v>30000</v>
      </c>
      <c r="C27" s="2" t="s">
        <v>2</v>
      </c>
    </row>
    <row r="28" customFormat="false" ht="15" hidden="false" customHeight="false" outlineLevel="0" collapsed="false">
      <c r="A28" s="2" t="s">
        <v>106</v>
      </c>
      <c r="B28" s="3" t="n">
        <f aca="false">B27</f>
        <v>30000</v>
      </c>
      <c r="C28" s="2" t="s">
        <v>108</v>
      </c>
    </row>
    <row r="30" customFormat="false" ht="15" hidden="false" customHeight="false" outlineLevel="0" collapsed="false">
      <c r="A30" s="4" t="s">
        <v>109</v>
      </c>
    </row>
    <row r="31" customFormat="false" ht="15" hidden="false" customHeight="false" outlineLevel="0" collapsed="false">
      <c r="A31" s="2" t="s">
        <v>77</v>
      </c>
      <c r="B31" s="3" t="n">
        <f aca="false">B8</f>
        <v>28000</v>
      </c>
      <c r="C31" s="2" t="s">
        <v>2</v>
      </c>
    </row>
    <row r="32" customFormat="false" ht="15" hidden="false" customHeight="false" outlineLevel="0" collapsed="false">
      <c r="A32" s="2" t="s">
        <v>18</v>
      </c>
      <c r="B32" s="3" t="n">
        <f aca="false">B31</f>
        <v>28000</v>
      </c>
    </row>
    <row r="34" customFormat="false" ht="15" hidden="false" customHeight="false" outlineLevel="0" collapsed="false">
      <c r="A34" s="4" t="s">
        <v>110</v>
      </c>
    </row>
    <row r="35" customFormat="false" ht="15" hidden="false" customHeight="false" outlineLevel="0" collapsed="false">
      <c r="A35" s="2" t="s">
        <v>111</v>
      </c>
      <c r="B35" s="3" t="n">
        <f aca="false">B9</f>
        <v>4000</v>
      </c>
      <c r="C35" s="2" t="s">
        <v>2</v>
      </c>
    </row>
    <row r="36" customFormat="false" ht="15" hidden="false" customHeight="false" outlineLevel="0" collapsed="false">
      <c r="A36" s="2" t="s">
        <v>18</v>
      </c>
      <c r="B36" s="3" t="n">
        <f aca="false">B35</f>
        <v>4000</v>
      </c>
    </row>
    <row r="38" customFormat="false" ht="15" hidden="false" customHeight="false" outlineLevel="0" collapsed="false">
      <c r="A38" s="4" t="s">
        <v>112</v>
      </c>
    </row>
    <row r="39" customFormat="false" ht="15" hidden="false" customHeight="false" outlineLevel="0" collapsed="false">
      <c r="A39" s="2" t="s">
        <v>113</v>
      </c>
    </row>
    <row r="40" customFormat="false" ht="15" hidden="false" customHeight="false" outlineLevel="0" collapsed="false">
      <c r="A40" s="2" t="s">
        <v>114</v>
      </c>
    </row>
    <row r="42" customFormat="false" ht="15" hidden="false" customHeight="false" outlineLevel="0" collapsed="false">
      <c r="A42" s="4" t="s">
        <v>33</v>
      </c>
    </row>
    <row r="43" customFormat="false" ht="15" hidden="false" customHeight="false" outlineLevel="0" collapsed="false">
      <c r="A43" s="2" t="s">
        <v>34</v>
      </c>
      <c r="B43" s="3" t="n">
        <f aca="false">B14-B19+B23-B32-B36</f>
        <v>53000</v>
      </c>
    </row>
    <row r="44" customFormat="false" ht="15" hidden="false" customHeight="false" outlineLevel="0" collapsed="false">
      <c r="A44" s="2" t="s">
        <v>83</v>
      </c>
      <c r="B44" s="3" t="n">
        <f aca="false">B27</f>
        <v>30000</v>
      </c>
    </row>
    <row r="45" customFormat="false" ht="15" hidden="false" customHeight="false" outlineLevel="0" collapsed="false">
      <c r="A45" s="2" t="s">
        <v>36</v>
      </c>
      <c r="B45" s="3" t="n">
        <f aca="false">B18</f>
        <v>60000</v>
      </c>
    </row>
    <row r="46" customFormat="false" ht="15" hidden="false" customHeight="false" outlineLevel="0" collapsed="false">
      <c r="A46" s="2" t="s">
        <v>39</v>
      </c>
      <c r="B46" s="3" t="n">
        <f aca="false">-B20</f>
        <v>-20000</v>
      </c>
    </row>
    <row r="47" customFormat="false" ht="15" hidden="false" customHeight="false" outlineLevel="0" collapsed="false">
      <c r="A47" s="2" t="s">
        <v>41</v>
      </c>
      <c r="B47" s="3" t="n">
        <f aca="false">-B15</f>
        <v>-80000</v>
      </c>
    </row>
    <row r="48" customFormat="false" ht="15" hidden="false" customHeight="false" outlineLevel="0" collapsed="false">
      <c r="A48" s="2" t="s">
        <v>115</v>
      </c>
      <c r="B48" s="3" t="n">
        <f aca="false">-B24-B28</f>
        <v>-75000</v>
      </c>
    </row>
    <row r="49" customFormat="false" ht="15" hidden="false" customHeight="false" outlineLevel="0" collapsed="false">
      <c r="A49" s="2" t="s">
        <v>86</v>
      </c>
      <c r="B49" s="3" t="n">
        <f aca="false">B31</f>
        <v>28000</v>
      </c>
    </row>
    <row r="50" customFormat="false" ht="15" hidden="false" customHeight="false" outlineLevel="0" collapsed="false">
      <c r="A50" s="2" t="s">
        <v>116</v>
      </c>
      <c r="B50" s="3" t="n">
        <f aca="false">B35</f>
        <v>4000</v>
      </c>
    </row>
    <row r="51" customFormat="false" ht="15" hidden="false" customHeight="false" outlineLevel="0" collapsed="false">
      <c r="A51" s="5" t="s">
        <v>42</v>
      </c>
      <c r="B51" s="6" t="n">
        <f aca="false">SUM(B43:B50)</f>
        <v>0</v>
      </c>
    </row>
    <row r="53" customFormat="false" ht="15" hidden="false" customHeight="false" outlineLevel="0" collapsed="false">
      <c r="A53" s="1" t="s">
        <v>88</v>
      </c>
    </row>
    <row r="55" customFormat="false" ht="15" hidden="false" customHeight="false" outlineLevel="0" collapsed="false">
      <c r="A55" s="7" t="s">
        <v>117</v>
      </c>
      <c r="B55" s="8"/>
      <c r="D55" s="9" t="s">
        <v>44</v>
      </c>
    </row>
    <row r="56" customFormat="false" ht="15" hidden="false" customHeight="false" outlineLevel="0" collapsed="false">
      <c r="A56" s="11" t="s">
        <v>115</v>
      </c>
      <c r="B56" s="12" t="n">
        <f aca="false">-B48</f>
        <v>75000</v>
      </c>
      <c r="D56" s="9"/>
    </row>
    <row r="57" customFormat="false" ht="15" hidden="false" customHeight="false" outlineLevel="0" collapsed="false">
      <c r="A57" s="11" t="s">
        <v>86</v>
      </c>
      <c r="B57" s="12" t="n">
        <f aca="false">-B49</f>
        <v>-28000</v>
      </c>
      <c r="D57" s="9"/>
    </row>
    <row r="58" customFormat="false" ht="15" hidden="false" customHeight="false" outlineLevel="0" collapsed="false">
      <c r="A58" s="11" t="s">
        <v>116</v>
      </c>
      <c r="B58" s="12" t="n">
        <f aca="false">-B50</f>
        <v>-4000</v>
      </c>
      <c r="D58" s="9"/>
    </row>
    <row r="59" customFormat="false" ht="15" hidden="false" customHeight="false" outlineLevel="0" collapsed="false">
      <c r="A59" s="13" t="s">
        <v>91</v>
      </c>
      <c r="B59" s="14" t="n">
        <f aca="false">SUM(B56:B58)</f>
        <v>43000</v>
      </c>
      <c r="D59" s="9"/>
    </row>
    <row r="61" customFormat="false" ht="15" hidden="false" customHeight="false" outlineLevel="0" collapsed="false">
      <c r="A61" s="1" t="s">
        <v>92</v>
      </c>
    </row>
    <row r="63" customFormat="false" ht="15" hidden="false" customHeight="false" outlineLevel="0" collapsed="false">
      <c r="A63" s="7" t="s">
        <v>118</v>
      </c>
      <c r="B63" s="8"/>
      <c r="D63" s="9" t="s">
        <v>94</v>
      </c>
    </row>
    <row r="64" customFormat="false" ht="15" hidden="false" customHeight="false" outlineLevel="0" collapsed="false">
      <c r="A64" s="10" t="s">
        <v>45</v>
      </c>
      <c r="B64" s="8"/>
      <c r="D64" s="9"/>
    </row>
    <row r="65" customFormat="false" ht="15" hidden="false" customHeight="false" outlineLevel="0" collapsed="false">
      <c r="A65" s="11" t="s">
        <v>34</v>
      </c>
      <c r="B65" s="12" t="n">
        <f aca="false">B43</f>
        <v>53000</v>
      </c>
      <c r="D65" s="9"/>
    </row>
    <row r="66" customFormat="false" ht="15" hidden="false" customHeight="false" outlineLevel="0" collapsed="false">
      <c r="A66" s="11" t="s">
        <v>83</v>
      </c>
      <c r="B66" s="12" t="n">
        <f aca="false">B44</f>
        <v>30000</v>
      </c>
      <c r="D66" s="9"/>
    </row>
    <row r="67" customFormat="false" ht="15" hidden="false" customHeight="false" outlineLevel="0" collapsed="false">
      <c r="A67" s="11" t="s">
        <v>36</v>
      </c>
      <c r="B67" s="12" t="n">
        <f aca="false">B45</f>
        <v>60000</v>
      </c>
      <c r="D67" s="9"/>
    </row>
    <row r="68" customFormat="false" ht="15" hidden="false" customHeight="false" outlineLevel="0" collapsed="false">
      <c r="A68" s="13" t="s">
        <v>46</v>
      </c>
      <c r="B68" s="14" t="n">
        <f aca="false">SUM(B65:B67)</f>
        <v>143000</v>
      </c>
      <c r="D68" s="9"/>
    </row>
    <row r="69" customFormat="false" ht="15" hidden="false" customHeight="false" outlineLevel="0" collapsed="false">
      <c r="A69" s="10" t="s">
        <v>47</v>
      </c>
      <c r="B69" s="8"/>
      <c r="D69" s="9"/>
    </row>
    <row r="70" customFormat="false" ht="15" hidden="false" customHeight="false" outlineLevel="0" collapsed="false">
      <c r="A70" s="11" t="s">
        <v>39</v>
      </c>
      <c r="B70" s="12" t="n">
        <f aca="false">-B46</f>
        <v>20000</v>
      </c>
      <c r="D70" s="9"/>
    </row>
    <row r="71" customFormat="false" ht="15" hidden="false" customHeight="false" outlineLevel="0" collapsed="false">
      <c r="A71" s="10" t="s">
        <v>48</v>
      </c>
      <c r="B71" s="8"/>
      <c r="D71" s="9"/>
    </row>
    <row r="72" customFormat="false" ht="15" hidden="false" customHeight="false" outlineLevel="0" collapsed="false">
      <c r="A72" s="11" t="s">
        <v>41</v>
      </c>
      <c r="B72" s="12" t="n">
        <f aca="false">-B47</f>
        <v>80000</v>
      </c>
      <c r="D72" s="9"/>
    </row>
    <row r="73" customFormat="false" ht="15" hidden="false" customHeight="false" outlineLevel="0" collapsed="false">
      <c r="A73" s="11" t="s">
        <v>95</v>
      </c>
      <c r="B73" s="12" t="n">
        <f aca="false">B59</f>
        <v>43000</v>
      </c>
      <c r="D73" s="9"/>
    </row>
    <row r="74" customFormat="false" ht="15" hidden="false" customHeight="false" outlineLevel="0" collapsed="false">
      <c r="A74" s="13" t="s">
        <v>49</v>
      </c>
      <c r="B74" s="14" t="n">
        <f aca="false">SUM(B70:B73)</f>
        <v>143000</v>
      </c>
      <c r="D74" s="9"/>
    </row>
    <row r="76" customFormat="false" ht="15" hidden="false" customHeight="false" outlineLevel="0" collapsed="false">
      <c r="A76" s="2" t="s">
        <v>50</v>
      </c>
      <c r="B76" s="3" t="n">
        <f aca="false">B68-B74</f>
        <v>0</v>
      </c>
    </row>
  </sheetData>
  <mergeCells count="2">
    <mergeCell ref="D55:D59"/>
    <mergeCell ref="D63:D7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9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4"/>
    <col collapsed="false" customWidth="true" hidden="false" outlineLevel="0" max="3" min="3" style="0" width="46"/>
    <col collapsed="false" customWidth="true" hidden="false" outlineLevel="0" max="4" min="4" style="0" width="12"/>
    <col collapsed="false" customWidth="true" hidden="false" outlineLevel="0" max="5" min="5" style="0" width="4"/>
  </cols>
  <sheetData>
    <row r="1" customFormat="false" ht="1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3" t="n">
        <v>300000</v>
      </c>
      <c r="C3" s="2" t="s">
        <v>2</v>
      </c>
    </row>
    <row r="4" customFormat="false" ht="15" hidden="false" customHeight="false" outlineLevel="0" collapsed="false">
      <c r="A4" s="2" t="s">
        <v>119</v>
      </c>
      <c r="B4" s="3" t="n">
        <v>240000</v>
      </c>
      <c r="C4" s="2" t="s">
        <v>2</v>
      </c>
    </row>
    <row r="5" customFormat="false" ht="15" hidden="false" customHeight="false" outlineLevel="0" collapsed="false">
      <c r="A5" s="2" t="s">
        <v>120</v>
      </c>
      <c r="B5" s="3" t="n">
        <v>4</v>
      </c>
      <c r="C5" s="2" t="s">
        <v>2</v>
      </c>
    </row>
    <row r="6" customFormat="false" ht="15" hidden="false" customHeight="false" outlineLevel="0" collapsed="false">
      <c r="A6" s="2" t="s">
        <v>121</v>
      </c>
      <c r="B6" s="3" t="n">
        <v>190000</v>
      </c>
      <c r="C6" s="2" t="s">
        <v>2</v>
      </c>
    </row>
    <row r="7" customFormat="false" ht="15" hidden="false" customHeight="false" outlineLevel="0" collapsed="false">
      <c r="A7" s="2" t="s">
        <v>122</v>
      </c>
      <c r="B7" s="3" t="n">
        <v>10000</v>
      </c>
      <c r="C7" s="2" t="s">
        <v>2</v>
      </c>
    </row>
    <row r="8" customFormat="false" ht="15" hidden="false" customHeight="false" outlineLevel="0" collapsed="false">
      <c r="A8" s="2" t="s">
        <v>123</v>
      </c>
      <c r="B8" s="3" t="n">
        <v>11</v>
      </c>
      <c r="C8" s="2" t="s">
        <v>2</v>
      </c>
    </row>
    <row r="9" customFormat="false" ht="15" hidden="false" customHeight="false" outlineLevel="0" collapsed="false">
      <c r="A9" s="2" t="s">
        <v>124</v>
      </c>
      <c r="B9" s="3" t="n">
        <v>12</v>
      </c>
      <c r="C9" s="2" t="s">
        <v>2</v>
      </c>
    </row>
    <row r="11" customFormat="false" ht="15" hidden="false" customHeight="false" outlineLevel="0" collapsed="false">
      <c r="A11" s="1" t="s">
        <v>10</v>
      </c>
    </row>
    <row r="13" customFormat="false" ht="15" hidden="false" customHeight="false" outlineLevel="0" collapsed="false">
      <c r="A13" s="4" t="s">
        <v>11</v>
      </c>
    </row>
    <row r="14" customFormat="false" ht="15" hidden="false" customHeight="false" outlineLevel="0" collapsed="false">
      <c r="A14" s="2" t="s">
        <v>12</v>
      </c>
      <c r="B14" s="3" t="n">
        <f aca="false">B3</f>
        <v>300000</v>
      </c>
      <c r="C14" s="2" t="s">
        <v>2</v>
      </c>
    </row>
    <row r="15" customFormat="false" ht="15" hidden="false" customHeight="false" outlineLevel="0" collapsed="false">
      <c r="A15" s="2" t="s">
        <v>13</v>
      </c>
      <c r="B15" s="3" t="n">
        <f aca="false">B14</f>
        <v>300000</v>
      </c>
    </row>
    <row r="17" customFormat="false" ht="15" hidden="false" customHeight="false" outlineLevel="0" collapsed="false">
      <c r="A17" s="4" t="s">
        <v>125</v>
      </c>
    </row>
    <row r="18" customFormat="false" ht="15" hidden="false" customHeight="false" outlineLevel="0" collapsed="false">
      <c r="A18" s="2" t="s">
        <v>126</v>
      </c>
      <c r="B18" s="3" t="n">
        <f aca="false">B4</f>
        <v>240000</v>
      </c>
      <c r="C18" s="2" t="s">
        <v>127</v>
      </c>
    </row>
    <row r="19" customFormat="false" ht="15" hidden="false" customHeight="false" outlineLevel="0" collapsed="false">
      <c r="A19" s="2" t="s">
        <v>18</v>
      </c>
      <c r="B19" s="3" t="n">
        <f aca="false">B18</f>
        <v>240000</v>
      </c>
    </row>
    <row r="21" customFormat="false" ht="15" hidden="false" customHeight="false" outlineLevel="0" collapsed="false">
      <c r="A21" s="4" t="s">
        <v>128</v>
      </c>
    </row>
    <row r="22" customFormat="false" ht="15" hidden="false" customHeight="false" outlineLevel="0" collapsed="false">
      <c r="A22" s="2" t="s">
        <v>12</v>
      </c>
      <c r="B22" s="3" t="n">
        <f aca="false">B6</f>
        <v>190000</v>
      </c>
      <c r="C22" s="2" t="s">
        <v>2</v>
      </c>
    </row>
    <row r="23" customFormat="false" ht="15" hidden="false" customHeight="false" outlineLevel="0" collapsed="false">
      <c r="A23" s="2" t="s">
        <v>129</v>
      </c>
      <c r="B23" s="3" t="n">
        <f aca="false">B22</f>
        <v>190000</v>
      </c>
    </row>
    <row r="25" customFormat="false" ht="15" hidden="false" customHeight="false" outlineLevel="0" collapsed="false">
      <c r="A25" s="4" t="s">
        <v>130</v>
      </c>
    </row>
    <row r="26" customFormat="false" ht="15" hidden="false" customHeight="false" outlineLevel="0" collapsed="false">
      <c r="A26" s="2" t="s">
        <v>77</v>
      </c>
      <c r="B26" s="3" t="n">
        <f aca="false">B7*B9</f>
        <v>120000</v>
      </c>
      <c r="C26" s="2" t="s">
        <v>131</v>
      </c>
    </row>
    <row r="27" customFormat="false" ht="15" hidden="false" customHeight="false" outlineLevel="0" collapsed="false">
      <c r="A27" s="2" t="s">
        <v>18</v>
      </c>
      <c r="B27" s="3" t="n">
        <f aca="false">B7*B8</f>
        <v>110000</v>
      </c>
      <c r="C27" s="2" t="s">
        <v>132</v>
      </c>
    </row>
    <row r="28" customFormat="false" ht="15" hidden="false" customHeight="false" outlineLevel="0" collapsed="false">
      <c r="A28" s="2" t="s">
        <v>25</v>
      </c>
      <c r="B28" s="3" t="n">
        <f aca="false">B26-B27</f>
        <v>10000</v>
      </c>
      <c r="C28" s="2" t="s">
        <v>133</v>
      </c>
    </row>
    <row r="30" customFormat="false" ht="15" hidden="false" customHeight="false" outlineLevel="0" collapsed="false">
      <c r="A30" s="4" t="s">
        <v>134</v>
      </c>
    </row>
    <row r="31" customFormat="false" ht="15" hidden="false" customHeight="false" outlineLevel="0" collapsed="false">
      <c r="A31" s="2" t="s">
        <v>135</v>
      </c>
      <c r="B31" s="3" t="n">
        <f aca="false">B4/B5</f>
        <v>60000</v>
      </c>
    </row>
    <row r="32" customFormat="false" ht="15" hidden="false" customHeight="false" outlineLevel="0" collapsed="false">
      <c r="A32" s="2" t="s">
        <v>136</v>
      </c>
      <c r="B32" s="3" t="n">
        <f aca="false">B31</f>
        <v>60000</v>
      </c>
    </row>
    <row r="34" customFormat="false" ht="15" hidden="false" customHeight="false" outlineLevel="0" collapsed="false">
      <c r="A34" s="4" t="s">
        <v>33</v>
      </c>
    </row>
    <row r="35" customFormat="false" ht="15" hidden="false" customHeight="false" outlineLevel="0" collapsed="false">
      <c r="A35" s="2" t="s">
        <v>34</v>
      </c>
      <c r="B35" s="3" t="n">
        <f aca="false">B14-B19+B22-B27</f>
        <v>140000</v>
      </c>
    </row>
    <row r="36" customFormat="false" ht="15" hidden="false" customHeight="false" outlineLevel="0" collapsed="false">
      <c r="A36" s="2" t="s">
        <v>137</v>
      </c>
      <c r="B36" s="3" t="n">
        <f aca="false">B18-B32</f>
        <v>180000</v>
      </c>
    </row>
    <row r="37" customFormat="false" ht="15" hidden="false" customHeight="false" outlineLevel="0" collapsed="false">
      <c r="A37" s="2" t="s">
        <v>39</v>
      </c>
      <c r="B37" s="3" t="n">
        <f aca="false">-B28</f>
        <v>-10000</v>
      </c>
    </row>
    <row r="38" customFormat="false" ht="15" hidden="false" customHeight="false" outlineLevel="0" collapsed="false">
      <c r="A38" s="2" t="s">
        <v>41</v>
      </c>
      <c r="B38" s="3" t="n">
        <f aca="false">-B15</f>
        <v>-300000</v>
      </c>
    </row>
    <row r="39" customFormat="false" ht="15" hidden="false" customHeight="false" outlineLevel="0" collapsed="false">
      <c r="A39" s="2" t="s">
        <v>138</v>
      </c>
      <c r="B39" s="3" t="n">
        <f aca="false">-B23</f>
        <v>-190000</v>
      </c>
    </row>
    <row r="40" customFormat="false" ht="15" hidden="false" customHeight="false" outlineLevel="0" collapsed="false">
      <c r="A40" s="2" t="s">
        <v>86</v>
      </c>
      <c r="B40" s="3" t="n">
        <f aca="false">B26</f>
        <v>120000</v>
      </c>
    </row>
    <row r="41" customFormat="false" ht="15" hidden="false" customHeight="false" outlineLevel="0" collapsed="false">
      <c r="A41" s="2" t="s">
        <v>139</v>
      </c>
      <c r="B41" s="3" t="n">
        <f aca="false">B31</f>
        <v>60000</v>
      </c>
    </row>
    <row r="42" customFormat="false" ht="15" hidden="false" customHeight="false" outlineLevel="0" collapsed="false">
      <c r="A42" s="5" t="s">
        <v>42</v>
      </c>
      <c r="B42" s="6" t="n">
        <f aca="false">SUM(B35:B41)</f>
        <v>0</v>
      </c>
    </row>
    <row r="44" customFormat="false" ht="15" hidden="false" customHeight="false" outlineLevel="0" collapsed="false">
      <c r="A44" s="1" t="s">
        <v>140</v>
      </c>
    </row>
    <row r="46" customFormat="false" ht="15" hidden="false" customHeight="false" outlineLevel="0" collapsed="false">
      <c r="A46" s="7" t="s">
        <v>141</v>
      </c>
      <c r="B46" s="8"/>
      <c r="D46" s="9" t="s">
        <v>44</v>
      </c>
    </row>
    <row r="47" customFormat="false" ht="15" hidden="false" customHeight="false" outlineLevel="0" collapsed="false">
      <c r="A47" s="11" t="s">
        <v>138</v>
      </c>
      <c r="B47" s="12" t="n">
        <f aca="false">-B39</f>
        <v>190000</v>
      </c>
      <c r="D47" s="9"/>
    </row>
    <row r="48" customFormat="false" ht="15" hidden="false" customHeight="false" outlineLevel="0" collapsed="false">
      <c r="A48" s="11" t="s">
        <v>86</v>
      </c>
      <c r="B48" s="12" t="n">
        <f aca="false">-B40</f>
        <v>-120000</v>
      </c>
      <c r="D48" s="9"/>
    </row>
    <row r="49" customFormat="false" ht="15" hidden="false" customHeight="false" outlineLevel="0" collapsed="false">
      <c r="A49" s="11" t="s">
        <v>139</v>
      </c>
      <c r="B49" s="12" t="n">
        <f aca="false">-B41</f>
        <v>-60000</v>
      </c>
      <c r="D49" s="9"/>
    </row>
    <row r="50" customFormat="false" ht="15" hidden="false" customHeight="false" outlineLevel="0" collapsed="false">
      <c r="A50" s="13" t="s">
        <v>91</v>
      </c>
      <c r="B50" s="14" t="n">
        <f aca="false">SUM(B47:B49)</f>
        <v>10000</v>
      </c>
      <c r="D50" s="9"/>
    </row>
    <row r="52" customFormat="false" ht="15" hidden="false" customHeight="false" outlineLevel="0" collapsed="false">
      <c r="A52" s="1" t="s">
        <v>142</v>
      </c>
    </row>
    <row r="54" customFormat="false" ht="15" hidden="false" customHeight="false" outlineLevel="0" collapsed="false">
      <c r="A54" s="7" t="s">
        <v>143</v>
      </c>
      <c r="B54" s="8"/>
      <c r="D54" s="9" t="s">
        <v>94</v>
      </c>
    </row>
    <row r="55" customFormat="false" ht="15" hidden="false" customHeight="false" outlineLevel="0" collapsed="false">
      <c r="A55" s="11" t="s">
        <v>144</v>
      </c>
      <c r="B55" s="12" t="n">
        <f aca="false">B6</f>
        <v>190000</v>
      </c>
      <c r="D55" s="9"/>
    </row>
    <row r="56" customFormat="false" ht="15" hidden="false" customHeight="false" outlineLevel="0" collapsed="false">
      <c r="A56" s="11" t="s">
        <v>145</v>
      </c>
      <c r="B56" s="12" t="n">
        <f aca="false">-B4</f>
        <v>-240000</v>
      </c>
      <c r="D56" s="9"/>
    </row>
    <row r="57" customFormat="false" ht="15" hidden="false" customHeight="false" outlineLevel="0" collapsed="false">
      <c r="A57" s="11" t="s">
        <v>146</v>
      </c>
      <c r="B57" s="12" t="n">
        <f aca="false">-B7*B8</f>
        <v>-110000</v>
      </c>
      <c r="D57" s="9"/>
    </row>
    <row r="58" customFormat="false" ht="15" hidden="false" customHeight="false" outlineLevel="0" collapsed="false">
      <c r="A58" s="13" t="s">
        <v>147</v>
      </c>
      <c r="B58" s="14" t="n">
        <f aca="false">SUM(B55:B57)</f>
        <v>-160000</v>
      </c>
      <c r="D58" s="9"/>
    </row>
    <row r="60" customFormat="false" ht="15" hidden="false" customHeight="false" outlineLevel="0" collapsed="false">
      <c r="A60" s="2" t="s">
        <v>148</v>
      </c>
    </row>
    <row r="61" customFormat="false" ht="15" hidden="false" customHeight="false" outlineLevel="0" collapsed="false">
      <c r="A61" s="2" t="s">
        <v>149</v>
      </c>
    </row>
    <row r="62" customFormat="false" ht="15" hidden="false" customHeight="false" outlineLevel="0" collapsed="false">
      <c r="A62" s="2" t="s">
        <v>150</v>
      </c>
    </row>
    <row r="63" customFormat="false" ht="15" hidden="false" customHeight="false" outlineLevel="0" collapsed="false">
      <c r="A63" s="2" t="s">
        <v>151</v>
      </c>
    </row>
    <row r="65" customFormat="false" ht="15" hidden="false" customHeight="false" outlineLevel="0" collapsed="false">
      <c r="A65" s="1" t="s">
        <v>152</v>
      </c>
    </row>
    <row r="67" customFormat="false" ht="15" hidden="false" customHeight="false" outlineLevel="0" collapsed="false">
      <c r="A67" s="7" t="s">
        <v>153</v>
      </c>
      <c r="B67" s="8"/>
      <c r="D67" s="9" t="s">
        <v>154</v>
      </c>
    </row>
    <row r="68" customFormat="false" ht="15" hidden="false" customHeight="false" outlineLevel="0" collapsed="false">
      <c r="A68" s="10" t="s">
        <v>45</v>
      </c>
      <c r="B68" s="8"/>
      <c r="D68" s="9"/>
    </row>
    <row r="69" customFormat="false" ht="15" hidden="false" customHeight="false" outlineLevel="0" collapsed="false">
      <c r="A69" s="11" t="s">
        <v>34</v>
      </c>
      <c r="B69" s="12" t="n">
        <f aca="false">B35</f>
        <v>140000</v>
      </c>
      <c r="D69" s="9"/>
    </row>
    <row r="70" customFormat="false" ht="15" hidden="false" customHeight="false" outlineLevel="0" collapsed="false">
      <c r="A70" s="11" t="s">
        <v>137</v>
      </c>
      <c r="B70" s="12" t="n">
        <f aca="false">B36</f>
        <v>180000</v>
      </c>
      <c r="D70" s="9"/>
    </row>
    <row r="71" customFormat="false" ht="15" hidden="false" customHeight="false" outlineLevel="0" collapsed="false">
      <c r="A71" s="13" t="s">
        <v>46</v>
      </c>
      <c r="B71" s="14" t="n">
        <f aca="false">SUM(B69:B70)</f>
        <v>320000</v>
      </c>
      <c r="D71" s="9"/>
    </row>
    <row r="72" customFormat="false" ht="15" hidden="false" customHeight="false" outlineLevel="0" collapsed="false">
      <c r="A72" s="10" t="s">
        <v>47</v>
      </c>
      <c r="B72" s="8"/>
      <c r="D72" s="9"/>
    </row>
    <row r="73" customFormat="false" ht="15" hidden="false" customHeight="false" outlineLevel="0" collapsed="false">
      <c r="A73" s="11" t="s">
        <v>39</v>
      </c>
      <c r="B73" s="12" t="n">
        <f aca="false">-B37</f>
        <v>10000</v>
      </c>
      <c r="D73" s="9"/>
    </row>
    <row r="74" customFormat="false" ht="15" hidden="false" customHeight="false" outlineLevel="0" collapsed="false">
      <c r="A74" s="10" t="s">
        <v>48</v>
      </c>
      <c r="B74" s="8"/>
      <c r="D74" s="9"/>
    </row>
    <row r="75" customFormat="false" ht="15" hidden="false" customHeight="false" outlineLevel="0" collapsed="false">
      <c r="A75" s="11" t="s">
        <v>41</v>
      </c>
      <c r="B75" s="12" t="n">
        <f aca="false">-B38</f>
        <v>300000</v>
      </c>
      <c r="D75" s="9"/>
    </row>
    <row r="76" customFormat="false" ht="15" hidden="false" customHeight="false" outlineLevel="0" collapsed="false">
      <c r="A76" s="11" t="s">
        <v>95</v>
      </c>
      <c r="B76" s="12" t="n">
        <f aca="false">B50</f>
        <v>10000</v>
      </c>
      <c r="D76" s="9"/>
    </row>
    <row r="77" customFormat="false" ht="15" hidden="false" customHeight="false" outlineLevel="0" collapsed="false">
      <c r="A77" s="13" t="s">
        <v>49</v>
      </c>
      <c r="B77" s="14" t="n">
        <f aca="false">SUM(B73:B76)</f>
        <v>320000</v>
      </c>
      <c r="D77" s="9"/>
    </row>
    <row r="79" customFormat="false" ht="15" hidden="false" customHeight="false" outlineLevel="0" collapsed="false">
      <c r="A79" s="2" t="s">
        <v>50</v>
      </c>
      <c r="B79" s="3" t="n">
        <f aca="false">B71-B77</f>
        <v>0</v>
      </c>
    </row>
  </sheetData>
  <mergeCells count="3">
    <mergeCell ref="D46:D50"/>
    <mergeCell ref="D54:D58"/>
    <mergeCell ref="D67:D7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120"/>
  </cols>
  <sheetData>
    <row r="1" customFormat="false" ht="15" hidden="false" customHeight="false" outlineLevel="0" collapsed="false">
      <c r="A1" s="1" t="s">
        <v>155</v>
      </c>
      <c r="B1" s="1" t="s">
        <v>156</v>
      </c>
      <c r="C1" s="1" t="s">
        <v>157</v>
      </c>
    </row>
    <row r="2" customFormat="false" ht="26.85" hidden="false" customHeight="false" outlineLevel="0" collapsed="false">
      <c r="A2" s="15" t="n">
        <v>5</v>
      </c>
      <c r="B2" s="16" t="s">
        <v>158</v>
      </c>
      <c r="C2" s="15" t="s">
        <v>159</v>
      </c>
    </row>
    <row r="3" customFormat="false" ht="15" hidden="false" customHeight="false" outlineLevel="0" collapsed="false">
      <c r="A3" s="15" t="n">
        <v>6</v>
      </c>
      <c r="B3" s="16" t="s">
        <v>160</v>
      </c>
      <c r="C3" s="15" t="s">
        <v>161</v>
      </c>
    </row>
    <row r="4" customFormat="false" ht="15" hidden="false" customHeight="false" outlineLevel="0" collapsed="false">
      <c r="A4" s="15" t="n">
        <v>7</v>
      </c>
      <c r="B4" s="16" t="s">
        <v>162</v>
      </c>
      <c r="C4" s="15" t="s">
        <v>163</v>
      </c>
    </row>
    <row r="5" customFormat="false" ht="26.85" hidden="false" customHeight="false" outlineLevel="0" collapsed="false">
      <c r="A5" s="15" t="n">
        <v>8</v>
      </c>
      <c r="B5" s="16" t="s">
        <v>162</v>
      </c>
      <c r="C5" s="15" t="s">
        <v>164</v>
      </c>
    </row>
    <row r="6" customFormat="false" ht="26.85" hidden="false" customHeight="false" outlineLevel="0" collapsed="false">
      <c r="A6" s="15" t="n">
        <v>9</v>
      </c>
      <c r="B6" s="16" t="s">
        <v>158</v>
      </c>
      <c r="C6" s="15" t="s">
        <v>165</v>
      </c>
    </row>
    <row r="7" customFormat="false" ht="15" hidden="false" customHeight="false" outlineLevel="0" collapsed="false">
      <c r="A7" s="15" t="n">
        <v>10</v>
      </c>
      <c r="B7" s="16" t="s">
        <v>166</v>
      </c>
      <c r="C7" s="15" t="s">
        <v>167</v>
      </c>
    </row>
    <row r="8" customFormat="false" ht="26.85" hidden="false" customHeight="false" outlineLevel="0" collapsed="false">
      <c r="A8" s="15" t="n">
        <v>11</v>
      </c>
      <c r="B8" s="16" t="s">
        <v>160</v>
      </c>
      <c r="C8" s="15" t="s">
        <v>168</v>
      </c>
    </row>
    <row r="9" customFormat="false" ht="26.85" hidden="false" customHeight="false" outlineLevel="0" collapsed="false">
      <c r="A9" s="15" t="n">
        <v>12</v>
      </c>
      <c r="B9" s="16" t="s">
        <v>166</v>
      </c>
      <c r="C9" s="15" t="s">
        <v>169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6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6"/>
    <col collapsed="false" customWidth="true" hidden="false" outlineLevel="0" max="3" min="3" style="0" width="22"/>
    <col collapsed="false" customWidth="true" hidden="false" outlineLevel="0" max="4" min="4" style="0" width="70"/>
  </cols>
  <sheetData>
    <row r="1" customFormat="false" ht="15" hidden="false" customHeight="false" outlineLevel="0" collapsed="false">
      <c r="A1" s="1" t="s">
        <v>170</v>
      </c>
      <c r="B1" s="1" t="s">
        <v>171</v>
      </c>
      <c r="C1" s="1" t="s">
        <v>172</v>
      </c>
    </row>
    <row r="2" customFormat="false" ht="15" hidden="false" customHeight="false" outlineLevel="0" collapsed="false">
      <c r="A2" s="2" t="s">
        <v>34</v>
      </c>
      <c r="B2" s="2" t="s">
        <v>173</v>
      </c>
      <c r="C2" s="2" t="s">
        <v>174</v>
      </c>
    </row>
    <row r="3" customFormat="false" ht="15" hidden="false" customHeight="false" outlineLevel="0" collapsed="false">
      <c r="A3" s="2" t="s">
        <v>84</v>
      </c>
      <c r="B3" s="2" t="s">
        <v>175</v>
      </c>
      <c r="C3" s="2" t="s">
        <v>176</v>
      </c>
    </row>
    <row r="4" customFormat="false" ht="15" hidden="false" customHeight="false" outlineLevel="0" collapsed="false">
      <c r="A4" s="2" t="s">
        <v>38</v>
      </c>
      <c r="B4" s="2" t="s">
        <v>177</v>
      </c>
      <c r="C4" s="2" t="s">
        <v>176</v>
      </c>
    </row>
    <row r="5" customFormat="false" ht="15" hidden="false" customHeight="false" outlineLevel="0" collapsed="false">
      <c r="A5" s="2" t="s">
        <v>36</v>
      </c>
      <c r="B5" s="2" t="s">
        <v>173</v>
      </c>
      <c r="C5" s="2" t="s">
        <v>174</v>
      </c>
    </row>
    <row r="6" customFormat="false" ht="15" hidden="false" customHeight="false" outlineLevel="0" collapsed="false">
      <c r="A6" s="2" t="s">
        <v>86</v>
      </c>
      <c r="B6" s="2" t="s">
        <v>178</v>
      </c>
      <c r="C6" s="2" t="s">
        <v>174</v>
      </c>
    </row>
    <row r="7" customFormat="false" ht="15" hidden="false" customHeight="false" outlineLevel="0" collapsed="false">
      <c r="A7" s="2" t="s">
        <v>41</v>
      </c>
      <c r="B7" s="2" t="s">
        <v>179</v>
      </c>
      <c r="C7" s="2" t="s">
        <v>176</v>
      </c>
    </row>
    <row r="8" customFormat="false" ht="15" hidden="false" customHeight="false" outlineLevel="0" collapsed="false">
      <c r="A8" s="2" t="s">
        <v>83</v>
      </c>
      <c r="B8" s="2" t="s">
        <v>173</v>
      </c>
      <c r="C8" s="2" t="s">
        <v>174</v>
      </c>
    </row>
    <row r="9" customFormat="false" ht="15" hidden="false" customHeight="false" outlineLevel="0" collapsed="false">
      <c r="A9" s="2" t="s">
        <v>85</v>
      </c>
      <c r="B9" s="2" t="s">
        <v>178</v>
      </c>
      <c r="C9" s="2" t="s">
        <v>174</v>
      </c>
    </row>
    <row r="10" customFormat="false" ht="15" hidden="false" customHeight="false" outlineLevel="0" collapsed="false">
      <c r="A10" s="2" t="s">
        <v>40</v>
      </c>
      <c r="B10" s="2" t="s">
        <v>177</v>
      </c>
      <c r="C10" s="2" t="s">
        <v>176</v>
      </c>
    </row>
    <row r="11" customFormat="false" ht="15" hidden="false" customHeight="false" outlineLevel="0" collapsed="false">
      <c r="A11" s="2" t="s">
        <v>35</v>
      </c>
      <c r="B11" s="2" t="s">
        <v>173</v>
      </c>
      <c r="C11" s="2" t="s">
        <v>174</v>
      </c>
    </row>
    <row r="12" customFormat="false" ht="15" hidden="false" customHeight="false" outlineLevel="0" collapsed="false">
      <c r="A12" s="2" t="s">
        <v>115</v>
      </c>
      <c r="B12" s="2" t="s">
        <v>175</v>
      </c>
      <c r="C12" s="2" t="s">
        <v>176</v>
      </c>
    </row>
    <row r="13" customFormat="false" ht="15" hidden="false" customHeight="false" outlineLevel="0" collapsed="false">
      <c r="A13" s="2" t="s">
        <v>180</v>
      </c>
      <c r="B13" s="2" t="s">
        <v>179</v>
      </c>
      <c r="C13" s="2" t="s">
        <v>176</v>
      </c>
    </row>
    <row r="14" customFormat="false" ht="15" hidden="false" customHeight="false" outlineLevel="0" collapsed="false">
      <c r="A14" s="2" t="s">
        <v>37</v>
      </c>
      <c r="B14" s="2" t="s">
        <v>173</v>
      </c>
      <c r="C14" s="2" t="s">
        <v>174</v>
      </c>
    </row>
    <row r="15" customFormat="false" ht="15" hidden="false" customHeight="false" outlineLevel="0" collapsed="false">
      <c r="A15" s="2" t="s">
        <v>87</v>
      </c>
      <c r="B15" s="2" t="s">
        <v>178</v>
      </c>
      <c r="C15" s="2" t="s">
        <v>174</v>
      </c>
    </row>
    <row r="16" customFormat="false" ht="15" hidden="false" customHeight="false" outlineLevel="0" collapsed="false">
      <c r="A16" s="2" t="s">
        <v>39</v>
      </c>
      <c r="B16" s="2" t="s">
        <v>177</v>
      </c>
      <c r="C16" s="2" t="s">
        <v>176</v>
      </c>
    </row>
    <row r="17" customFormat="false" ht="15" hidden="false" customHeight="false" outlineLevel="0" collapsed="false">
      <c r="A17" s="2" t="s">
        <v>181</v>
      </c>
      <c r="B17" s="2" t="s">
        <v>173</v>
      </c>
      <c r="C17" s="2" t="s">
        <v>174</v>
      </c>
    </row>
    <row r="18" customFormat="false" ht="15" hidden="false" customHeight="false" outlineLevel="0" collapsed="false">
      <c r="A18" s="2" t="s">
        <v>139</v>
      </c>
      <c r="B18" s="2" t="s">
        <v>178</v>
      </c>
      <c r="C18" s="2" t="s">
        <v>174</v>
      </c>
    </row>
    <row r="19" customFormat="false" ht="15" hidden="false" customHeight="false" outlineLevel="0" collapsed="false">
      <c r="A19" s="2" t="s">
        <v>116</v>
      </c>
      <c r="B19" s="2" t="s">
        <v>178</v>
      </c>
      <c r="C19" s="2" t="s">
        <v>174</v>
      </c>
    </row>
    <row r="21" customFormat="false" ht="15" hidden="false" customHeight="false" outlineLevel="0" collapsed="false">
      <c r="A21" s="1" t="s">
        <v>182</v>
      </c>
    </row>
    <row r="22" customFormat="false" ht="15" hidden="false" customHeight="false" outlineLevel="0" collapsed="false">
      <c r="A22" s="2" t="s">
        <v>183</v>
      </c>
    </row>
    <row r="23" customFormat="false" ht="15" hidden="false" customHeight="false" outlineLevel="0" collapsed="false">
      <c r="A23" s="2" t="s">
        <v>184</v>
      </c>
    </row>
    <row r="24" customFormat="false" ht="15" hidden="false" customHeight="false" outlineLevel="0" collapsed="false">
      <c r="A24" s="2" t="s">
        <v>185</v>
      </c>
    </row>
    <row r="25" customFormat="false" ht="15" hidden="false" customHeight="false" outlineLevel="0" collapsed="false">
      <c r="A25" s="2" t="s">
        <v>186</v>
      </c>
    </row>
    <row r="26" customFormat="false" ht="15" hidden="false" customHeight="false" outlineLevel="0" collapsed="false">
      <c r="A26" s="2" t="s">
        <v>187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2026-10-11T08:23:12Z</dcterms:created>
  <dc:creator>openpyxl</dc:creator>
  <dc:description/>
  <dc:language>en-US</dc:language>
  <cp:lastModifiedBy/>
  <dcterms:modified xsi:type="dcterms:W3CDTF">2026-10-11T08:23:12Z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